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194B301B-D89A-4266-9F92-AF02DD2416A5}" xr6:coauthVersionLast="47" xr6:coauthVersionMax="47" xr10:uidLastSave="{00000000-0000-0000-0000-000000000000}"/>
  <bookViews>
    <workbookView xWindow="-120" yWindow="-120" windowWidth="29040" windowHeight="15720" activeTab="2" xr2:uid="{99166A7D-D6BF-4BBF-970F-CFBD7726D313}"/>
  </bookViews>
  <sheets>
    <sheet name="EMA" sheetId="1" r:id="rId1"/>
    <sheet name="EBA" sheetId="2" r:id="rId2"/>
    <sheet name="FEBRERO" sheetId="3" r:id="rId3"/>
    <sheet name="Hoja4" sheetId="4" r:id="rId4"/>
  </sheets>
  <definedNames>
    <definedName name="_xlnm._FilterDatabase" localSheetId="2" hidden="1">FEBRERO!$A$3:$BH$3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4" l="1"/>
  <c r="O10" i="4"/>
  <c r="F48" i="4"/>
  <c r="F56" i="4"/>
  <c r="F55" i="4"/>
  <c r="F35" i="4"/>
  <c r="F34" i="4"/>
  <c r="G38" i="4" s="1"/>
  <c r="BE8" i="3"/>
  <c r="BG22" i="3"/>
  <c r="BD22" i="3"/>
  <c r="BA22" i="3"/>
  <c r="AX22" i="3"/>
  <c r="AU22" i="3"/>
  <c r="AR22" i="3"/>
  <c r="AO22" i="3"/>
  <c r="AL22" i="3"/>
  <c r="AI22" i="3"/>
  <c r="AF22" i="3"/>
  <c r="AI20" i="3"/>
  <c r="AF20" i="3"/>
  <c r="J284" i="3"/>
  <c r="K284" i="3"/>
  <c r="L284" i="3"/>
  <c r="M284" i="3"/>
  <c r="N284" i="3"/>
  <c r="O284" i="3"/>
  <c r="P284" i="3"/>
  <c r="Q284" i="3"/>
  <c r="R284" i="3"/>
  <c r="S284" i="3"/>
  <c r="T284" i="3"/>
  <c r="BH7" i="3" s="1"/>
  <c r="F28" i="4" s="1"/>
  <c r="U284" i="3"/>
  <c r="BH8" i="3" s="1"/>
  <c r="V284" i="3"/>
  <c r="BH6" i="3" s="1"/>
  <c r="BH29" i="3" s="1"/>
  <c r="W284" i="3"/>
  <c r="BH5" i="3" s="1"/>
  <c r="BH28" i="3" s="1"/>
  <c r="X284" i="3"/>
  <c r="Y284" i="3"/>
  <c r="Z284" i="3"/>
  <c r="AA284" i="3"/>
  <c r="AB284" i="3"/>
  <c r="AC284" i="3"/>
  <c r="AD284" i="3"/>
  <c r="I284" i="3"/>
  <c r="J230" i="3"/>
  <c r="K230" i="3"/>
  <c r="L230" i="3"/>
  <c r="M230" i="3"/>
  <c r="N230" i="3"/>
  <c r="O230" i="3"/>
  <c r="P230" i="3"/>
  <c r="Q230" i="3"/>
  <c r="R230" i="3"/>
  <c r="S230" i="3"/>
  <c r="T230" i="3"/>
  <c r="BE7" i="3" s="1"/>
  <c r="U230" i="3"/>
  <c r="V230" i="3"/>
  <c r="BE6" i="3" s="1"/>
  <c r="BE29" i="3" s="1"/>
  <c r="W230" i="3"/>
  <c r="X230" i="3"/>
  <c r="Y230" i="3"/>
  <c r="Z230" i="3"/>
  <c r="AA230" i="3"/>
  <c r="AB230" i="3"/>
  <c r="AC230" i="3"/>
  <c r="AD230" i="3"/>
  <c r="I230" i="3"/>
  <c r="J220" i="3"/>
  <c r="K220" i="3"/>
  <c r="L220" i="3"/>
  <c r="M220" i="3"/>
  <c r="N220" i="3"/>
  <c r="O220" i="3"/>
  <c r="P220" i="3"/>
  <c r="Q220" i="3"/>
  <c r="R220" i="3"/>
  <c r="S220" i="3"/>
  <c r="T220" i="3"/>
  <c r="BB7" i="3" s="1"/>
  <c r="F21" i="4" s="1"/>
  <c r="U220" i="3"/>
  <c r="BB8" i="3" s="1"/>
  <c r="BB30" i="3" s="1"/>
  <c r="V220" i="3"/>
  <c r="BB6" i="3" s="1"/>
  <c r="BB29" i="3" s="1"/>
  <c r="W220" i="3"/>
  <c r="X220" i="3"/>
  <c r="Y220" i="3"/>
  <c r="Z220" i="3"/>
  <c r="AA220" i="3"/>
  <c r="AB220" i="3"/>
  <c r="AC220" i="3"/>
  <c r="AD220" i="3"/>
  <c r="I220" i="3"/>
  <c r="J201" i="3"/>
  <c r="K201" i="3"/>
  <c r="L201" i="3"/>
  <c r="M201" i="3"/>
  <c r="N201" i="3"/>
  <c r="O201" i="3"/>
  <c r="P201" i="3"/>
  <c r="Q201" i="3"/>
  <c r="R201" i="3"/>
  <c r="S201" i="3"/>
  <c r="T201" i="3"/>
  <c r="AY7" i="3" s="1"/>
  <c r="U201" i="3"/>
  <c r="AY8" i="3" s="1"/>
  <c r="V201" i="3"/>
  <c r="AY6" i="3" s="1"/>
  <c r="W201" i="3"/>
  <c r="X201" i="3"/>
  <c r="Y201" i="3"/>
  <c r="Z201" i="3"/>
  <c r="AA201" i="3"/>
  <c r="AB201" i="3"/>
  <c r="AC201" i="3"/>
  <c r="AD201" i="3"/>
  <c r="I201" i="3"/>
  <c r="J136" i="3"/>
  <c r="K136" i="3"/>
  <c r="AV10" i="3" s="1"/>
  <c r="L136" i="3"/>
  <c r="M136" i="3"/>
  <c r="N136" i="3"/>
  <c r="O136" i="3"/>
  <c r="P136" i="3"/>
  <c r="Q136" i="3"/>
  <c r="R136" i="3"/>
  <c r="S136" i="3"/>
  <c r="T136" i="3"/>
  <c r="AV7" i="3" s="1"/>
  <c r="U136" i="3"/>
  <c r="AV8" i="3" s="1"/>
  <c r="V136" i="3"/>
  <c r="AV6" i="3" s="1"/>
  <c r="W136" i="3"/>
  <c r="AV5" i="3" s="1"/>
  <c r="X136" i="3"/>
  <c r="Y136" i="3"/>
  <c r="Z136" i="3"/>
  <c r="AA136" i="3"/>
  <c r="AB136" i="3"/>
  <c r="AC136" i="3"/>
  <c r="AD136" i="3"/>
  <c r="I136" i="3"/>
  <c r="J95" i="3"/>
  <c r="K95" i="3"/>
  <c r="L95" i="3"/>
  <c r="M95" i="3"/>
  <c r="N95" i="3"/>
  <c r="O95" i="3"/>
  <c r="P95" i="3"/>
  <c r="Q95" i="3"/>
  <c r="R95" i="3"/>
  <c r="S95" i="3"/>
  <c r="T95" i="3"/>
  <c r="AS7" i="3" s="1"/>
  <c r="U95" i="3"/>
  <c r="AS8" i="3" s="1"/>
  <c r="V95" i="3"/>
  <c r="AS6" i="3" s="1"/>
  <c r="W95" i="3"/>
  <c r="X95" i="3"/>
  <c r="Y95" i="3"/>
  <c r="Z95" i="3"/>
  <c r="AA95" i="3"/>
  <c r="AB95" i="3"/>
  <c r="AC95" i="3"/>
  <c r="AD95" i="3"/>
  <c r="I95" i="3"/>
  <c r="J79" i="3"/>
  <c r="K79" i="3"/>
  <c r="L79" i="3"/>
  <c r="M79" i="3"/>
  <c r="N79" i="3"/>
  <c r="O79" i="3"/>
  <c r="P79" i="3"/>
  <c r="Q79" i="3"/>
  <c r="R79" i="3"/>
  <c r="S79" i="3"/>
  <c r="T79" i="3"/>
  <c r="AP7" i="3" s="1"/>
  <c r="U79" i="3"/>
  <c r="AP8" i="3" s="1"/>
  <c r="V79" i="3"/>
  <c r="AP6" i="3" s="1"/>
  <c r="AP29" i="3" s="1"/>
  <c r="W79" i="3"/>
  <c r="X79" i="3"/>
  <c r="Y79" i="3"/>
  <c r="Z79" i="3"/>
  <c r="AA79" i="3"/>
  <c r="AB79" i="3"/>
  <c r="AC79" i="3"/>
  <c r="AD79" i="3"/>
  <c r="I79" i="3"/>
  <c r="J53" i="3"/>
  <c r="K53" i="3"/>
  <c r="L53" i="3"/>
  <c r="M53" i="3"/>
  <c r="N53" i="3"/>
  <c r="O53" i="3"/>
  <c r="P53" i="3"/>
  <c r="Q53" i="3"/>
  <c r="R53" i="3"/>
  <c r="S53" i="3"/>
  <c r="T53" i="3"/>
  <c r="AM7" i="3" s="1"/>
  <c r="F49" i="4" s="1"/>
  <c r="U53" i="3"/>
  <c r="AM8" i="3" s="1"/>
  <c r="V53" i="3"/>
  <c r="AM6" i="3" s="1"/>
  <c r="AM29" i="3" s="1"/>
  <c r="W53" i="3"/>
  <c r="X53" i="3"/>
  <c r="Y53" i="3"/>
  <c r="Z53" i="3"/>
  <c r="AA53" i="3"/>
  <c r="AB53" i="3"/>
  <c r="AC53" i="3"/>
  <c r="AD53" i="3"/>
  <c r="I53" i="3"/>
  <c r="J26" i="3"/>
  <c r="K26" i="3"/>
  <c r="L26" i="3"/>
  <c r="M26" i="3"/>
  <c r="N26" i="3"/>
  <c r="O26" i="3"/>
  <c r="P26" i="3"/>
  <c r="Q26" i="3"/>
  <c r="R26" i="3"/>
  <c r="S26" i="3"/>
  <c r="T26" i="3"/>
  <c r="AJ7" i="3" s="1"/>
  <c r="U26" i="3"/>
  <c r="AJ8" i="3" s="1"/>
  <c r="V26" i="3"/>
  <c r="AJ6" i="3" s="1"/>
  <c r="W26" i="3"/>
  <c r="X26" i="3"/>
  <c r="Y26" i="3"/>
  <c r="Z26" i="3"/>
  <c r="AA26" i="3"/>
  <c r="AB26" i="3"/>
  <c r="AC26" i="3"/>
  <c r="AD26" i="3"/>
  <c r="I26" i="3"/>
  <c r="J17" i="3"/>
  <c r="K17" i="3"/>
  <c r="L17" i="3"/>
  <c r="M17" i="3"/>
  <c r="N17" i="3"/>
  <c r="O17" i="3"/>
  <c r="P17" i="3"/>
  <c r="Q17" i="3"/>
  <c r="R17" i="3"/>
  <c r="S17" i="3"/>
  <c r="T17" i="3"/>
  <c r="AG7" i="3" s="1"/>
  <c r="F7" i="4" s="1"/>
  <c r="U17" i="3"/>
  <c r="AG8" i="3" s="1"/>
  <c r="AG30" i="3" s="1"/>
  <c r="V17" i="3"/>
  <c r="AG6" i="3" s="1"/>
  <c r="AG29" i="3" s="1"/>
  <c r="W17" i="3"/>
  <c r="X17" i="3"/>
  <c r="Y17" i="3"/>
  <c r="Z17" i="3"/>
  <c r="AA17" i="3"/>
  <c r="AB17" i="3"/>
  <c r="AC17" i="3"/>
  <c r="AD17" i="3"/>
  <c r="I17" i="3"/>
  <c r="B232" i="3"/>
  <c r="BG4" i="3" s="1"/>
  <c r="BG20" i="3" s="1"/>
  <c r="B222" i="3"/>
  <c r="BD4" i="3" s="1"/>
  <c r="BD20" i="3" s="1"/>
  <c r="B203" i="3"/>
  <c r="BA4" i="3" s="1"/>
  <c r="BA20" i="3" s="1"/>
  <c r="B138" i="3"/>
  <c r="AX4" i="3" s="1"/>
  <c r="AX20" i="3" s="1"/>
  <c r="B97" i="3"/>
  <c r="AU4" i="3" s="1"/>
  <c r="AU20" i="3" s="1"/>
  <c r="B81" i="3"/>
  <c r="AR4" i="3" s="1"/>
  <c r="AR20" i="3" s="1"/>
  <c r="B55" i="3"/>
  <c r="AO4" i="3" s="1"/>
  <c r="AO20" i="3" s="1"/>
  <c r="B28" i="3"/>
  <c r="AL4" i="3" s="1"/>
  <c r="AL20" i="3" s="1"/>
  <c r="B19" i="3"/>
  <c r="B4" i="3"/>
  <c r="F26" i="4" l="1"/>
  <c r="G30" i="4" s="1"/>
  <c r="F27" i="4"/>
  <c r="G31" i="4" s="1"/>
  <c r="BH10" i="3"/>
  <c r="BH31" i="3" s="1"/>
  <c r="BH9" i="3"/>
  <c r="F25" i="4" s="1"/>
  <c r="G29" i="4" s="1"/>
  <c r="BE5" i="3"/>
  <c r="G59" i="4"/>
  <c r="BE10" i="3"/>
  <c r="BE31" i="3" s="1"/>
  <c r="BE9" i="3"/>
  <c r="BE32" i="3" s="1"/>
  <c r="BE13" i="3"/>
  <c r="F53" i="4"/>
  <c r="G57" i="4" s="1"/>
  <c r="BB9" i="3"/>
  <c r="F18" i="4" s="1"/>
  <c r="G22" i="4" s="1"/>
  <c r="F20" i="4"/>
  <c r="G24" i="4" s="1"/>
  <c r="F14" i="4"/>
  <c r="G17" i="4" s="1"/>
  <c r="F13" i="4"/>
  <c r="F41" i="4"/>
  <c r="F42" i="4"/>
  <c r="G45" i="4" s="1"/>
  <c r="AS10" i="3"/>
  <c r="AM5" i="3"/>
  <c r="AM28" i="3" s="1"/>
  <c r="F47" i="4"/>
  <c r="G51" i="4" s="1"/>
  <c r="G52" i="4"/>
  <c r="AM9" i="3"/>
  <c r="F46" i="4"/>
  <c r="G50" i="4" s="1"/>
  <c r="AJ5" i="3"/>
  <c r="AJ10" i="3"/>
  <c r="AI21" i="3" s="1"/>
  <c r="AI23" i="3" s="1"/>
  <c r="AG10" i="3"/>
  <c r="AG31" i="3" s="1"/>
  <c r="AG5" i="3"/>
  <c r="F5" i="4" s="1"/>
  <c r="G9" i="4" s="1"/>
  <c r="F6" i="4"/>
  <c r="G10" i="4" s="1"/>
  <c r="AG9" i="3"/>
  <c r="F4" i="4" s="1"/>
  <c r="BH30" i="3"/>
  <c r="BG21" i="3"/>
  <c r="BG23" i="3" s="1"/>
  <c r="BB5" i="3"/>
  <c r="BB10" i="3"/>
  <c r="BB31" i="3" s="1"/>
  <c r="BD21" i="3"/>
  <c r="BD23" i="3" s="1"/>
  <c r="AV9" i="3"/>
  <c r="AV11" i="3" s="1"/>
  <c r="AY5" i="3"/>
  <c r="AY9" i="3"/>
  <c r="AY10" i="3"/>
  <c r="AX21" i="3" s="1"/>
  <c r="AX23" i="3" s="1"/>
  <c r="BE30" i="3"/>
  <c r="AJ31" i="3"/>
  <c r="AJ29" i="3"/>
  <c r="AJ30" i="3"/>
  <c r="AP5" i="3"/>
  <c r="AP9" i="3"/>
  <c r="AJ9" i="3"/>
  <c r="AJ11" i="3" s="1"/>
  <c r="AP10" i="3"/>
  <c r="AP31" i="3" s="1"/>
  <c r="AM10" i="3"/>
  <c r="AM31" i="3" s="1"/>
  <c r="AS9" i="3"/>
  <c r="AS5" i="3"/>
  <c r="AS29" i="3"/>
  <c r="AS30" i="3"/>
  <c r="AR21" i="3"/>
  <c r="AR23" i="3" s="1"/>
  <c r="AS31" i="3"/>
  <c r="AM32" i="3"/>
  <c r="AF21" i="3"/>
  <c r="AF23" i="3" s="1"/>
  <c r="BE11" i="3"/>
  <c r="BH11" i="3"/>
  <c r="AG28" i="3"/>
  <c r="AM30" i="3"/>
  <c r="AP30" i="3"/>
  <c r="AU21" i="3"/>
  <c r="AU23" i="3" s="1"/>
  <c r="X286" i="3"/>
  <c r="R286" i="3"/>
  <c r="AA286" i="3"/>
  <c r="AC286" i="3"/>
  <c r="W286" i="3"/>
  <c r="Q286" i="3"/>
  <c r="K286" i="3"/>
  <c r="AD286" i="3"/>
  <c r="L286" i="3"/>
  <c r="Z286" i="3"/>
  <c r="T286" i="3"/>
  <c r="N286" i="3"/>
  <c r="U286" i="3"/>
  <c r="O286" i="3"/>
  <c r="I286" i="3"/>
  <c r="Y286" i="3"/>
  <c r="S286" i="3"/>
  <c r="M286" i="3"/>
  <c r="AB286" i="3"/>
  <c r="V286" i="3"/>
  <c r="P286" i="3"/>
  <c r="J286" i="3"/>
  <c r="BH13" i="3" l="1"/>
  <c r="BH32" i="3"/>
  <c r="BH33" i="3" s="1"/>
  <c r="BH34" i="3" s="1"/>
  <c r="BE28" i="3"/>
  <c r="BE33" i="3" s="1"/>
  <c r="BE34" i="3" s="1"/>
  <c r="F54" i="4"/>
  <c r="G58" i="4" s="1"/>
  <c r="BB32" i="3"/>
  <c r="BA21" i="3"/>
  <c r="BA23" i="3" s="1"/>
  <c r="BB28" i="3"/>
  <c r="F19" i="4"/>
  <c r="G23" i="4" s="1"/>
  <c r="AY11" i="3"/>
  <c r="N6" i="4"/>
  <c r="AV13" i="3"/>
  <c r="AS28" i="3"/>
  <c r="F40" i="4"/>
  <c r="G44" i="4" s="1"/>
  <c r="AG38" i="3"/>
  <c r="AS13" i="3"/>
  <c r="F39" i="4"/>
  <c r="G43" i="4" s="1"/>
  <c r="AP28" i="3"/>
  <c r="F33" i="4"/>
  <c r="G37" i="4" s="1"/>
  <c r="AP32" i="3"/>
  <c r="F32" i="4"/>
  <c r="G36" i="4" s="1"/>
  <c r="AL21" i="3"/>
  <c r="AL23" i="3" s="1"/>
  <c r="AM11" i="3"/>
  <c r="AM13" i="3"/>
  <c r="F12" i="4"/>
  <c r="AJ28" i="3"/>
  <c r="AG37" i="3" s="1"/>
  <c r="AJ13" i="3"/>
  <c r="F11" i="4"/>
  <c r="G15" i="4" s="1"/>
  <c r="N5" i="4"/>
  <c r="AG11" i="3"/>
  <c r="AG32" i="3"/>
  <c r="AG33" i="3" s="1"/>
  <c r="AP13" i="3"/>
  <c r="AS32" i="3"/>
  <c r="AS33" i="3" s="1"/>
  <c r="AY13" i="3"/>
  <c r="BB13" i="3"/>
  <c r="BB11" i="3"/>
  <c r="AG40" i="3"/>
  <c r="AJ32" i="3"/>
  <c r="AJ33" i="3" s="1"/>
  <c r="AP33" i="3"/>
  <c r="AS11" i="3"/>
  <c r="AP11" i="3"/>
  <c r="AG13" i="3"/>
  <c r="AO21" i="3"/>
  <c r="AO23" i="3" s="1"/>
  <c r="AG39" i="3"/>
  <c r="AM33" i="3"/>
  <c r="BB33" i="3" l="1"/>
  <c r="BB34" i="3"/>
  <c r="AJ34" i="3"/>
  <c r="AP34" i="3"/>
  <c r="BI11" i="3"/>
  <c r="BJ10" i="3" s="1"/>
  <c r="G16" i="4"/>
  <c r="N4" i="4"/>
  <c r="F61" i="4"/>
  <c r="N3" i="4"/>
  <c r="N7" i="4" s="1"/>
  <c r="AM34" i="3"/>
  <c r="AG42" i="3"/>
  <c r="AI19" i="3"/>
  <c r="AG41" i="3"/>
  <c r="AS34" i="3"/>
  <c r="AG53" i="3"/>
  <c r="AG34" i="3"/>
  <c r="AF16" i="3" l="1"/>
  <c r="AF14" i="3" s="1"/>
  <c r="AG43" i="3"/>
  <c r="F62" i="4" l="1"/>
  <c r="F63" i="4" s="1"/>
  <c r="F64" i="4" s="1"/>
  <c r="AF18" i="3"/>
  <c r="M7" i="4"/>
  <c r="O11" i="4" s="1"/>
  <c r="M9" i="4" l="1"/>
  <c r="M10" i="4" s="1"/>
  <c r="M11" i="4" s="1"/>
</calcChain>
</file>

<file path=xl/sharedStrings.xml><?xml version="1.0" encoding="utf-8"?>
<sst xmlns="http://schemas.openxmlformats.org/spreadsheetml/2006/main" count="2289" uniqueCount="546">
  <si>
    <t>Movimientos por Asegurado de EMA</t>
  </si>
  <si>
    <t>NSS</t>
  </si>
  <si>
    <t>Nombre</t>
  </si>
  <si>
    <t>Origen del Movimiento</t>
  </si>
  <si>
    <t>Tipo del Movimiento</t>
  </si>
  <si>
    <t>Fecha del Movimiento</t>
  </si>
  <si>
    <t>Días</t>
  </si>
  <si>
    <t>Salario Diario</t>
  </si>
  <si>
    <t>Cuota Fija</t>
  </si>
  <si>
    <t>Excedente Patronal</t>
  </si>
  <si>
    <t>Excedente Obrero</t>
  </si>
  <si>
    <t>Prestaciones en Dinero Patronal</t>
  </si>
  <si>
    <t>Prestaciones en Dinero Obrero</t>
  </si>
  <si>
    <t>Gastos Médicos y Pensionados Patronal</t>
  </si>
  <si>
    <t>Gastos Médicos y Pensionados Obrero</t>
  </si>
  <si>
    <t>Riesgos de Trabajo</t>
  </si>
  <si>
    <t>Invalidez y Vida Patronal</t>
  </si>
  <si>
    <t>Invalidez y Vida Obrero</t>
  </si>
  <si>
    <t>Guarderías y Prestaciones Sociales</t>
  </si>
  <si>
    <t>Total</t>
  </si>
  <si>
    <t>16129527558</t>
  </si>
  <si>
    <t>-</t>
  </si>
  <si>
    <t>16055900472</t>
  </si>
  <si>
    <t>10199887299</t>
  </si>
  <si>
    <t>16058300399</t>
  </si>
  <si>
    <t>16169722564</t>
  </si>
  <si>
    <t>16089120402</t>
  </si>
  <si>
    <t>10199987412</t>
  </si>
  <si>
    <t>04169357409</t>
  </si>
  <si>
    <t>16139548891</t>
  </si>
  <si>
    <t>16078904154</t>
  </si>
  <si>
    <t>49230433481</t>
  </si>
  <si>
    <t>16056800093</t>
  </si>
  <si>
    <t>16109069993</t>
  </si>
  <si>
    <t>03178590448</t>
  </si>
  <si>
    <t>01169774310</t>
  </si>
  <si>
    <t>02198366185</t>
  </si>
  <si>
    <t>16058000197</t>
  </si>
  <si>
    <t>02248596591</t>
  </si>
  <si>
    <t>57170175913</t>
  </si>
  <si>
    <t>03188910958</t>
  </si>
  <si>
    <t>16127600662</t>
  </si>
  <si>
    <t>18230392286</t>
  </si>
  <si>
    <t>19856730189</t>
  </si>
  <si>
    <t>39018102846</t>
  </si>
  <si>
    <t>16057300101</t>
  </si>
  <si>
    <t>05189442220</t>
  </si>
  <si>
    <t>16098929132</t>
  </si>
  <si>
    <t>01130627167</t>
  </si>
  <si>
    <t>16017405305</t>
  </si>
  <si>
    <t>16066701901</t>
  </si>
  <si>
    <t>64160169724</t>
  </si>
  <si>
    <t>16058300415</t>
  </si>
  <si>
    <t>50220482173</t>
  </si>
  <si>
    <t>05240590611</t>
  </si>
  <si>
    <t>16055900563</t>
  </si>
  <si>
    <t>02199860509</t>
  </si>
  <si>
    <t>08169791616</t>
  </si>
  <si>
    <t>42027803974</t>
  </si>
  <si>
    <t>16078304421</t>
  </si>
  <si>
    <t>68160177496</t>
  </si>
  <si>
    <t>01169900527</t>
  </si>
  <si>
    <t>16078618432</t>
  </si>
  <si>
    <t>10220158967</t>
  </si>
  <si>
    <t>16056600709</t>
  </si>
  <si>
    <t>16099224855</t>
  </si>
  <si>
    <t>11160327026</t>
  </si>
  <si>
    <t>03209074024</t>
  </si>
  <si>
    <t>03188889970</t>
  </si>
  <si>
    <t>16057400141</t>
  </si>
  <si>
    <t>03200291940</t>
  </si>
  <si>
    <t>16037204720</t>
  </si>
  <si>
    <t>39169801774</t>
  </si>
  <si>
    <t>16078004484</t>
  </si>
  <si>
    <t>44149386896</t>
  </si>
  <si>
    <t>07169885154</t>
  </si>
  <si>
    <t>05230485228</t>
  </si>
  <si>
    <t>16160033581</t>
  </si>
  <si>
    <t>05198528522</t>
  </si>
  <si>
    <t>63149650150</t>
  </si>
  <si>
    <t>94088827442</t>
  </si>
  <si>
    <t>03189811296</t>
  </si>
  <si>
    <t>16896917305</t>
  </si>
  <si>
    <t>16068645825</t>
  </si>
  <si>
    <t>01169899885</t>
  </si>
  <si>
    <t>13160225184</t>
  </si>
  <si>
    <t>08200237470</t>
  </si>
  <si>
    <t>16055900530</t>
  </si>
  <si>
    <t>16028203574</t>
  </si>
  <si>
    <t>16108607744</t>
  </si>
  <si>
    <t>02249113248</t>
  </si>
  <si>
    <t>09160090677</t>
  </si>
  <si>
    <t>44240678084</t>
  </si>
  <si>
    <t>16066101813</t>
  </si>
  <si>
    <t>03230306429</t>
  </si>
  <si>
    <t>19816010177</t>
  </si>
  <si>
    <t>64160168650</t>
  </si>
  <si>
    <t>02228722787</t>
  </si>
  <si>
    <t>03238501344</t>
  </si>
  <si>
    <t>02247706357</t>
  </si>
  <si>
    <t>69160171653</t>
  </si>
  <si>
    <t>05139687825</t>
  </si>
  <si>
    <t>20130052846</t>
  </si>
  <si>
    <t>11947516008</t>
  </si>
  <si>
    <t>04160045995</t>
  </si>
  <si>
    <t>10149764119</t>
  </si>
  <si>
    <t>16119417224</t>
  </si>
  <si>
    <t>40816305391</t>
  </si>
  <si>
    <t>16897345548</t>
  </si>
  <si>
    <t>03238851459</t>
  </si>
  <si>
    <t>16068711395</t>
  </si>
  <si>
    <t>15160175558</t>
  </si>
  <si>
    <t>86169782595</t>
  </si>
  <si>
    <t>02249003183</t>
  </si>
  <si>
    <t>16068861554</t>
  </si>
  <si>
    <t>53957803801</t>
  </si>
  <si>
    <t>38190538348</t>
  </si>
  <si>
    <t>16987106297</t>
  </si>
  <si>
    <t>02167859731</t>
  </si>
  <si>
    <t>01130462581</t>
  </si>
  <si>
    <t>16160614158</t>
  </si>
  <si>
    <t>30997506974</t>
  </si>
  <si>
    <t>07167725451</t>
  </si>
  <si>
    <t>16108701042</t>
  </si>
  <si>
    <t>16068003934</t>
  </si>
  <si>
    <t>16068751516</t>
  </si>
  <si>
    <t>16058500998</t>
  </si>
  <si>
    <t>16826509909</t>
  </si>
  <si>
    <t>05230252958</t>
  </si>
  <si>
    <t>28058604597</t>
  </si>
  <si>
    <t>05229616452</t>
  </si>
  <si>
    <t>14160060902</t>
  </si>
  <si>
    <t>16094800063</t>
  </si>
  <si>
    <t>53926412403</t>
  </si>
  <si>
    <t>16958005049</t>
  </si>
  <si>
    <t>16129350472</t>
  </si>
  <si>
    <t>16054900010</t>
  </si>
  <si>
    <t>16058612959</t>
  </si>
  <si>
    <t>04169704469</t>
  </si>
  <si>
    <t>16058508595</t>
  </si>
  <si>
    <t>16057100030</t>
  </si>
  <si>
    <t>16057700144</t>
  </si>
  <si>
    <t>16056900059</t>
  </si>
  <si>
    <t>16007613199</t>
  </si>
  <si>
    <t>01126600624</t>
  </si>
  <si>
    <t>16057200079</t>
  </si>
  <si>
    <t>16138203530</t>
  </si>
  <si>
    <t>53745408368</t>
  </si>
  <si>
    <t>16987728207</t>
  </si>
  <si>
    <t>16946905045</t>
  </si>
  <si>
    <t>05179206643</t>
  </si>
  <si>
    <t>08170036365</t>
  </si>
  <si>
    <t>16028347835</t>
  </si>
  <si>
    <t>75159715574</t>
  </si>
  <si>
    <t>35169756588</t>
  </si>
  <si>
    <t>13906620011</t>
  </si>
  <si>
    <t>90007601504</t>
  </si>
  <si>
    <t>16057301422</t>
  </si>
  <si>
    <t>09167003152</t>
  </si>
  <si>
    <t>05179322945</t>
  </si>
  <si>
    <t>16056000462</t>
  </si>
  <si>
    <t>03229419720</t>
  </si>
  <si>
    <t>46190109671</t>
  </si>
  <si>
    <t>02229974312</t>
  </si>
  <si>
    <t>04169889286</t>
  </si>
  <si>
    <t>16048304006</t>
  </si>
  <si>
    <t>02227064330</t>
  </si>
  <si>
    <t>02227373913</t>
  </si>
  <si>
    <t>96048421877</t>
  </si>
  <si>
    <t>14160092061</t>
  </si>
  <si>
    <t>30068902904</t>
  </si>
  <si>
    <t>16058718137</t>
  </si>
  <si>
    <t>35200145437</t>
  </si>
  <si>
    <t>16079026627</t>
  </si>
  <si>
    <t>10250637864</t>
  </si>
  <si>
    <t>17220256188</t>
  </si>
  <si>
    <t>08168853607</t>
  </si>
  <si>
    <t>16119147896</t>
  </si>
  <si>
    <t>68160116874</t>
  </si>
  <si>
    <t>10150168515</t>
  </si>
  <si>
    <t>28160309580</t>
  </si>
  <si>
    <t>35240601944</t>
  </si>
  <si>
    <t xml:space="preserve">SALINAS ORTEGA MANUEL ALEJANDRO                   </t>
  </si>
  <si>
    <t>02250448301</t>
  </si>
  <si>
    <t>16099011757</t>
  </si>
  <si>
    <t>18169140722</t>
  </si>
  <si>
    <t>03189391109</t>
  </si>
  <si>
    <t>02237837030</t>
  </si>
  <si>
    <t>16058114816</t>
  </si>
  <si>
    <t>53846630233</t>
  </si>
  <si>
    <t>30190044716</t>
  </si>
  <si>
    <t>16956806901</t>
  </si>
  <si>
    <t>10240386515</t>
  </si>
  <si>
    <t>16977914031</t>
  </si>
  <si>
    <t>16107801777</t>
  </si>
  <si>
    <t>16108809563</t>
  </si>
  <si>
    <t>10179770929</t>
  </si>
  <si>
    <t>Movimientos por Asegurado de EBA</t>
  </si>
  <si>
    <t>Retiro</t>
  </si>
  <si>
    <t>Cesantía en Edad Avanzada y Vejez Patronal</t>
  </si>
  <si>
    <t>Cesantía en Edad Avanzada y Vejez Obrero</t>
  </si>
  <si>
    <t>Subtotal RCV</t>
  </si>
  <si>
    <t>Aportación Patronal</t>
  </si>
  <si>
    <t>Tipo de Descuento</t>
  </si>
  <si>
    <t>Valor de Descuento</t>
  </si>
  <si>
    <t>Número de Crédito</t>
  </si>
  <si>
    <t>Amortización</t>
  </si>
  <si>
    <t>Subtotal Infonavit</t>
  </si>
  <si>
    <t>CF</t>
  </si>
  <si>
    <t>2,448.86</t>
  </si>
  <si>
    <t>01525027937</t>
  </si>
  <si>
    <t>Departamento</t>
  </si>
  <si>
    <t>ADMINISTRACIÓN</t>
  </si>
  <si>
    <t>CASCO II</t>
  </si>
  <si>
    <t>INFONAVIT</t>
  </si>
  <si>
    <t>SAR</t>
  </si>
  <si>
    <t>CESANTIA PATRONAL</t>
  </si>
  <si>
    <t>CESANTIA OBRERO</t>
  </si>
  <si>
    <t>IMSS PATRONAL</t>
  </si>
  <si>
    <t>IMSS OBRERO</t>
  </si>
  <si>
    <t>imss</t>
  </si>
  <si>
    <t>DIFERENCIA DE MÁS EN SUA</t>
  </si>
  <si>
    <t>SUA</t>
  </si>
  <si>
    <t>IDSE</t>
  </si>
  <si>
    <t>DIFERENCIA</t>
  </si>
  <si>
    <t>IMSS + CESANTIA OBRERO</t>
  </si>
  <si>
    <t>RESUMEN POR DEPARTAMENTOS</t>
  </si>
  <si>
    <t>CASCO II + OPERACIÓN</t>
  </si>
  <si>
    <t>CENTRO MEDICO EQUINO</t>
  </si>
  <si>
    <t>CORRALES</t>
  </si>
  <si>
    <t>FORESTAL + JARDINES</t>
  </si>
  <si>
    <t>PRODUCCIÓN</t>
  </si>
  <si>
    <t>REPRODUCCIÓN</t>
  </si>
  <si>
    <t>TRAINING</t>
  </si>
  <si>
    <t>CHECAR CUADRO DE FORESTAL</t>
  </si>
  <si>
    <t>CHECAR CUADRO DE CASCO II</t>
  </si>
  <si>
    <t>PATRONAL</t>
  </si>
  <si>
    <t>SUMA</t>
  </si>
  <si>
    <t>COMPROBACIÓN GENERAL</t>
  </si>
  <si>
    <t>CENTRO MEDICO</t>
  </si>
  <si>
    <t>PRORRATEO IMSS BIMESTRAL JUNIO 2025 POR ÁREA</t>
  </si>
  <si>
    <t>DIFERENCIA ACIENTO</t>
  </si>
  <si>
    <t>SUMA SUA</t>
  </si>
  <si>
    <t>SUMA ACIENTO</t>
  </si>
  <si>
    <t>RETIRO, CESANTIA Y VEJEZ</t>
  </si>
  <si>
    <t>2104-04-002-001</t>
  </si>
  <si>
    <t>2104-04-002-002</t>
  </si>
  <si>
    <t>2104-04-001-002</t>
  </si>
  <si>
    <t>Cesantia y vejez</t>
  </si>
  <si>
    <t>5200-70-001-025</t>
  </si>
  <si>
    <t>Afore</t>
  </si>
  <si>
    <t>5200-70-001-014</t>
  </si>
  <si>
    <t>Infonavit</t>
  </si>
  <si>
    <t>5200-70-001-015</t>
  </si>
  <si>
    <t>IMSS patronal</t>
  </si>
  <si>
    <t>5200-70-001-013</t>
  </si>
  <si>
    <t>CENTRO DE REPRODUCCION</t>
  </si>
  <si>
    <t>5200-65-001-025</t>
  </si>
  <si>
    <t>5200-65-001-014</t>
  </si>
  <si>
    <t>5200-65-001-015</t>
  </si>
  <si>
    <t>5200-65-001-013</t>
  </si>
  <si>
    <t>5200-10-003-025</t>
  </si>
  <si>
    <t>5200-10-003-022</t>
  </si>
  <si>
    <t>5200-10-003-023</t>
  </si>
  <si>
    <t>IMSS Patronal</t>
  </si>
  <si>
    <t>5200-10-003-021</t>
  </si>
  <si>
    <t>JARDINES Y FORESTAL</t>
  </si>
  <si>
    <t>5200-30-001-025</t>
  </si>
  <si>
    <t>5200-30-001-014</t>
  </si>
  <si>
    <t>5200-30-001-015</t>
  </si>
  <si>
    <t>5200-30-001-013</t>
  </si>
  <si>
    <t>5200-40-001-025</t>
  </si>
  <si>
    <t>5200-40-001-014</t>
  </si>
  <si>
    <t>5200-40-001-015</t>
  </si>
  <si>
    <t>5200-40-001-013</t>
  </si>
  <si>
    <t>TRANING</t>
  </si>
  <si>
    <t>PRODUCCION</t>
  </si>
  <si>
    <t>5200-10-002-025</t>
  </si>
  <si>
    <t>5200-10-002-022</t>
  </si>
  <si>
    <t>5200-10-002-023</t>
  </si>
  <si>
    <t>5200-10-002-021</t>
  </si>
  <si>
    <t>OPERACIÓN Y CASCO II</t>
  </si>
  <si>
    <t>5200-10-001-025</t>
  </si>
  <si>
    <t>5200-10-001-022</t>
  </si>
  <si>
    <t>5200-10-001-023</t>
  </si>
  <si>
    <t>5200-10-001-021</t>
  </si>
  <si>
    <t>ADMINISTRACION</t>
  </si>
  <si>
    <t>ACIENTO CONTABLE</t>
  </si>
  <si>
    <t>IMSS</t>
  </si>
  <si>
    <t xml:space="preserve">AGUILAR ARRIAGA BENJAMIN                          </t>
  </si>
  <si>
    <t>17169570706</t>
  </si>
  <si>
    <t xml:space="preserve">AGUILAR CARBAJAL SANTOS                           </t>
  </si>
  <si>
    <t xml:space="preserve">ALTAMIRANO HERNANDEZ SERGIO VICTOR                </t>
  </si>
  <si>
    <t xml:space="preserve">ANTONIO ROQUE GIOVANNI                            </t>
  </si>
  <si>
    <t>17159479306</t>
  </si>
  <si>
    <t xml:space="preserve">ARIAS ANTONIO RUTILO                              </t>
  </si>
  <si>
    <t>16916950013</t>
  </si>
  <si>
    <t xml:space="preserve">ARZATE BARCENAS LORENZO                           </t>
  </si>
  <si>
    <t xml:space="preserve">AVILA CASAS JAIME                                 </t>
  </si>
  <si>
    <t xml:space="preserve">AVILA GARCIA ARACELI                              </t>
  </si>
  <si>
    <t xml:space="preserve">AVILA MIRALRIO CLEOFAS                            </t>
  </si>
  <si>
    <t xml:space="preserve">AVILA SANCHEZ FELIPE                              </t>
  </si>
  <si>
    <t xml:space="preserve">BARTOLO DE LA CRUZ TOMAS                          </t>
  </si>
  <si>
    <t xml:space="preserve">CABALLERO HERNANDEZ GUADALUPE                     </t>
  </si>
  <si>
    <t>16160014201</t>
  </si>
  <si>
    <t xml:space="preserve">CADENA VALDEZ JUAN CARLOS                         </t>
  </si>
  <si>
    <t xml:space="preserve">CAMACHO MARIN JUAN                                </t>
  </si>
  <si>
    <t xml:space="preserve">CARDOSO PEDRAZA EDWIN ALBERTO                     </t>
  </si>
  <si>
    <t>68210745581</t>
  </si>
  <si>
    <t xml:space="preserve">CARRANZA RODRIGUEZ JONATHAN IVAN                  </t>
  </si>
  <si>
    <t>02257765509</t>
  </si>
  <si>
    <t xml:space="preserve">CASAS GUZMAN MARGARITO                            </t>
  </si>
  <si>
    <t xml:space="preserve">CASAS GUZMAN PAULA                                </t>
  </si>
  <si>
    <t xml:space="preserve">CASAS JARAMILLO LUIS                              </t>
  </si>
  <si>
    <t xml:space="preserve">CASAS MIRALRIO MARIA LORENA                       </t>
  </si>
  <si>
    <t xml:space="preserve">CEBALLOS CARBAJAL MARTIN                          </t>
  </si>
  <si>
    <t xml:space="preserve">CEBALLOS DE PAZ PEDRO                             </t>
  </si>
  <si>
    <t xml:space="preserve">CEBALLOS ESTRADA LEONARDO                         </t>
  </si>
  <si>
    <t xml:space="preserve">CEBALLOS ESTRADA MARIA DOLORES                    </t>
  </si>
  <si>
    <t xml:space="preserve">CERVANTES LARA BALTAZAR                           </t>
  </si>
  <si>
    <t xml:space="preserve">CHINO HERNANDEZ DAVID                             </t>
  </si>
  <si>
    <t xml:space="preserve">CHINO NEPAMUCENO SUSANA                           </t>
  </si>
  <si>
    <t xml:space="preserve">COLIN CIRIACO JUAN CARLOS                         </t>
  </si>
  <si>
    <t xml:space="preserve">COLIN FACUNDO GERARDO                             </t>
  </si>
  <si>
    <t xml:space="preserve">COLIN GARCIA FERNANDO                             </t>
  </si>
  <si>
    <t xml:space="preserve">CONTRERAS MARTINEZ RAMON                          </t>
  </si>
  <si>
    <t xml:space="preserve">CORTES RAMOS ITZEL AMAYRANI                       </t>
  </si>
  <si>
    <t xml:space="preserve">DE LA CRUZ GONZALEZ DAVID                         </t>
  </si>
  <si>
    <t xml:space="preserve">DE LA CRUZ TRINIDAD GRABIELA                      </t>
  </si>
  <si>
    <t xml:space="preserve">ENRIQUEZ CASTILLO ELIAS                           </t>
  </si>
  <si>
    <t xml:space="preserve">ENRIQUEZ GOMEZ SERGIO                             </t>
  </si>
  <si>
    <t xml:space="preserve">ESCOBAR MARIN JESUS EDUARDO                       </t>
  </si>
  <si>
    <t xml:space="preserve">ESPINOSA CHINO ZITO                               </t>
  </si>
  <si>
    <t xml:space="preserve">ESPINOSA GONZALEZ JOSE ANTONIO                    </t>
  </si>
  <si>
    <t xml:space="preserve">ESPINOSA OSORIO ALFONSO                           </t>
  </si>
  <si>
    <t xml:space="preserve">ESPINOZA RODRIGUEZ MA JUANA                       </t>
  </si>
  <si>
    <t>16128713860</t>
  </si>
  <si>
    <t xml:space="preserve">ESTRADA ESCOBAR RAMON                             </t>
  </si>
  <si>
    <t xml:space="preserve">ESTRADA GARCIA MARTIN                             </t>
  </si>
  <si>
    <t xml:space="preserve">ESTRADA GARCIA TOMAS                              </t>
  </si>
  <si>
    <t>05250206371</t>
  </si>
  <si>
    <t xml:space="preserve">ESTRADA VARGAS CRISTOBAL                          </t>
  </si>
  <si>
    <t xml:space="preserve">FACUNDO MARIN EMILIANO                            </t>
  </si>
  <si>
    <t xml:space="preserve">FACUNDO MARIN SIXTO                               </t>
  </si>
  <si>
    <t>16129106130</t>
  </si>
  <si>
    <t xml:space="preserve">FAJARDO REBOLLAR OSVALDO                          </t>
  </si>
  <si>
    <t>05230302753</t>
  </si>
  <si>
    <t xml:space="preserve">FELIPE ARIAS JUAN DIEGO                           </t>
  </si>
  <si>
    <t xml:space="preserve">FILEMON VELAZCO JESUS DANIEL                      </t>
  </si>
  <si>
    <t xml:space="preserve">FLORES SEGURA ALEJANDRO                           </t>
  </si>
  <si>
    <t xml:space="preserve">FRANCISCO GARDU#O HILARIO                         </t>
  </si>
  <si>
    <t xml:space="preserve">FRUTIS ESPINOSA JUAN PABLO                        </t>
  </si>
  <si>
    <t xml:space="preserve">FRUTIS GUADARRAMA MAYOLO                          </t>
  </si>
  <si>
    <t xml:space="preserve">GALICIA SANCHEZ MAURICIO                          </t>
  </si>
  <si>
    <t xml:space="preserve">GARCIA CEBALLOS ELEAZAR                           </t>
  </si>
  <si>
    <t>05250147476</t>
  </si>
  <si>
    <t xml:space="preserve">GARCIA COLIN JOSE ALEJANDRO                       </t>
  </si>
  <si>
    <t>16048406082</t>
  </si>
  <si>
    <t xml:space="preserve">GARCIA LOZA GUSTAVO                               </t>
  </si>
  <si>
    <t>02260202896</t>
  </si>
  <si>
    <t xml:space="preserve">GARCIA MARIANO FEDERICO RAMON                     </t>
  </si>
  <si>
    <t xml:space="preserve">GARCIA MORA PATRICIA MARIBEL                      </t>
  </si>
  <si>
    <t xml:space="preserve">GARCIA QUINTANA MIGUEL ANGEL                      </t>
  </si>
  <si>
    <t xml:space="preserve">GARCIA REYES GUMERCINDO                           </t>
  </si>
  <si>
    <t xml:space="preserve">GARCIA SALGUERO LUIS FERNANDO                     </t>
  </si>
  <si>
    <t xml:space="preserve">GOMEZ RAMIREZ FAUSTINO                            </t>
  </si>
  <si>
    <t xml:space="preserve">GOMEZ REYNA LUIS ANGEL                            </t>
  </si>
  <si>
    <t xml:space="preserve">GOMEZ SALVADOR DAMIAN                             </t>
  </si>
  <si>
    <t xml:space="preserve">GONZALEZ CARRANZA JOSE ANTONIO                    </t>
  </si>
  <si>
    <t xml:space="preserve">GONZALEZ CARRANZA JOSE GUADALUPE                  </t>
  </si>
  <si>
    <t xml:space="preserve">GONZALEZ GARCIA LUIS ANGEL                        </t>
  </si>
  <si>
    <t xml:space="preserve">GONZALEZ GONZALEZ URIEL                           </t>
  </si>
  <si>
    <t xml:space="preserve">GONZALEZ HERNANDEZ JERONIMO                       </t>
  </si>
  <si>
    <t xml:space="preserve">GONZALEZ HERNANDEZ LUIS GERARDO                   </t>
  </si>
  <si>
    <t xml:space="preserve">GONZALEZ LOPEZ CRISTIAN OZIEL                     </t>
  </si>
  <si>
    <t xml:space="preserve">GONZALEZ ROSAS FORTUNATA                          </t>
  </si>
  <si>
    <t xml:space="preserve">GONZALEZ SANCHEZ OSCAR                            </t>
  </si>
  <si>
    <t xml:space="preserve">GUADARRAMA GUERRERO DANIELA                       </t>
  </si>
  <si>
    <t xml:space="preserve">GUADARRAMA LOPEZ JESUS RAFAEL                     </t>
  </si>
  <si>
    <t xml:space="preserve">GUADARRAMA VIDAL JUAN                             </t>
  </si>
  <si>
    <t xml:space="preserve">GUERRERO ROBLES MARIA ROSA AGAPITA                </t>
  </si>
  <si>
    <t xml:space="preserve">GUERRERO ROBLES MARTA                             </t>
  </si>
  <si>
    <t xml:space="preserve">GUILLERMO DIAZ ELIGIO                             </t>
  </si>
  <si>
    <t xml:space="preserve">GUILLERMO DIAZ IREYDA                             </t>
  </si>
  <si>
    <t xml:space="preserve">GUILLERMO DIAZ JOSE ALFONSO                       </t>
  </si>
  <si>
    <t xml:space="preserve">GUILLERMO MAXIMILIANO ALEJANDRO                   </t>
  </si>
  <si>
    <t>13108911994</t>
  </si>
  <si>
    <t xml:space="preserve">HERNANDEZ CARBAJAL MONICA MIRZA                   </t>
  </si>
  <si>
    <t xml:space="preserve">HERNANDEZ CIPRIANO SANTOS                         </t>
  </si>
  <si>
    <t xml:space="preserve">HERNANDEZ GONZALEZ OMAR                           </t>
  </si>
  <si>
    <t xml:space="preserve">HERNANDEZ LORETO JOSE                             </t>
  </si>
  <si>
    <t xml:space="preserve">HERNANDEZ MENDOZA ROBERTO ENRIQUE                 </t>
  </si>
  <si>
    <t xml:space="preserve">HERNANDEZ MONDRAGON ALEJANDRO                     </t>
  </si>
  <si>
    <t xml:space="preserve">HERNANDEZ MONDRAGON ELADIO                        </t>
  </si>
  <si>
    <t xml:space="preserve">HERNANDEZ MONDRAGON VALENTIN                      </t>
  </si>
  <si>
    <t>26250662777</t>
  </si>
  <si>
    <t xml:space="preserve">HERNANDEZ NIETO DIEGO                             </t>
  </si>
  <si>
    <t xml:space="preserve">HERNANDEZ PINEDA JESUS                            </t>
  </si>
  <si>
    <t xml:space="preserve">HERNANDEZ RAMIREZ JOSE GABRIEL                    </t>
  </si>
  <si>
    <t>01169793104</t>
  </si>
  <si>
    <t xml:space="preserve">HERNANDEZ RAMIREZ JUAN DANIEL                     </t>
  </si>
  <si>
    <t xml:space="preserve">HERNANDEZ SALGADO MELINA                          </t>
  </si>
  <si>
    <t xml:space="preserve">HERNANDEZ TELLEZ RAUL                             </t>
  </si>
  <si>
    <t xml:space="preserve">JAIMES GUADARRAMA JOSE ADRIAN                     </t>
  </si>
  <si>
    <t xml:space="preserve">JIMENEZ PEDRO MARIA FRANCISCA                     </t>
  </si>
  <si>
    <t xml:space="preserve">JORDAN DIAZ VICENTE                               </t>
  </si>
  <si>
    <t xml:space="preserve">JORDAN GONZALEZ VENANCIO                          </t>
  </si>
  <si>
    <t xml:space="preserve">JUAN SALVADOR ALEJANDRO                           </t>
  </si>
  <si>
    <t xml:space="preserve">LARROULET  WALTER MARTIN                          </t>
  </si>
  <si>
    <t xml:space="preserve">LINO LOPEZ ARTEMIO                                </t>
  </si>
  <si>
    <t xml:space="preserve">LOPEZ BARTOLO VICTOR                              </t>
  </si>
  <si>
    <t xml:space="preserve">LOPEZ GOMEZ JESUS                                 </t>
  </si>
  <si>
    <t xml:space="preserve">LOPEZ MERCADO REYNALDO                            </t>
  </si>
  <si>
    <t xml:space="preserve">LOPEZ NEPOMUCENO JAVIER                           </t>
  </si>
  <si>
    <t xml:space="preserve">LOPEZ OCHOA FREDY                                 </t>
  </si>
  <si>
    <t>03229628791</t>
  </si>
  <si>
    <t xml:space="preserve">LOPEZ ORTEGA RICARDO                              </t>
  </si>
  <si>
    <t>18250594001</t>
  </si>
  <si>
    <t xml:space="preserve">LOPEZ ROQUE LUIS PABLO                            </t>
  </si>
  <si>
    <t xml:space="preserve">LOPEZ SANCHEZ JESUS MISAEL                        </t>
  </si>
  <si>
    <t xml:space="preserve">LORETO HERNANDEZ VICENTE                          </t>
  </si>
  <si>
    <t xml:space="preserve">LOZA SANTANA JESUS                                </t>
  </si>
  <si>
    <t xml:space="preserve">LUIS AVILES CHRISTIAN                             </t>
  </si>
  <si>
    <t xml:space="preserve">LUIS SANCHEZ PAMELA                               </t>
  </si>
  <si>
    <t xml:space="preserve">LUIS SANTIAGO JAIME                               </t>
  </si>
  <si>
    <t xml:space="preserve">LUIS SANTIAGO JOSE                                </t>
  </si>
  <si>
    <t xml:space="preserve">MACEDONIO SANCHEZ JUAN                            </t>
  </si>
  <si>
    <t xml:space="preserve">MARCELINO CONSUELO MARIA                          </t>
  </si>
  <si>
    <t>19169484979</t>
  </si>
  <si>
    <t xml:space="preserve">MARCOS CARBAJAL JESUS ELISEO                      </t>
  </si>
  <si>
    <t>39028015426</t>
  </si>
  <si>
    <t xml:space="preserve">MARCOS LOPEZ SIMON                                </t>
  </si>
  <si>
    <t>10250342960</t>
  </si>
  <si>
    <t xml:space="preserve">MARIN GARDU#O IVAN                                </t>
  </si>
  <si>
    <t xml:space="preserve">MARIN REYES JESUS                                 </t>
  </si>
  <si>
    <t xml:space="preserve">MARIN REYES MARCO ANTONIO                         </t>
  </si>
  <si>
    <t xml:space="preserve">MARIN VAZQUEZ MARIO                               </t>
  </si>
  <si>
    <t>16160352486</t>
  </si>
  <si>
    <t xml:space="preserve">MARTINEZ BERNAL JESUS                             </t>
  </si>
  <si>
    <t xml:space="preserve">MARTINEZ GOMEZ JOVANNA ITZEL                      </t>
  </si>
  <si>
    <t xml:space="preserve">MARTINEZ GONZALEZ VICENTE                         </t>
  </si>
  <si>
    <t xml:space="preserve">MARTINEZ GUTIERREZ BRAYAN                         </t>
  </si>
  <si>
    <t xml:space="preserve">MARTINEZ IBARRA EVELYN                            </t>
  </si>
  <si>
    <t>16149507465</t>
  </si>
  <si>
    <t xml:space="preserve">MARTINEZ MARIANO JAVIER                           </t>
  </si>
  <si>
    <t xml:space="preserve">MARTINEZ ROQUE PEDRO                              </t>
  </si>
  <si>
    <t xml:space="preserve">MENA TORRES JUAN CARLOS ROMAN                     </t>
  </si>
  <si>
    <t xml:space="preserve">MENDOZA ARRIAGA GERARDO                           </t>
  </si>
  <si>
    <t xml:space="preserve">MENDOZA BARCENAS JUAN                             </t>
  </si>
  <si>
    <t xml:space="preserve">MERCADO GARCIA JUAN MARTIN                        </t>
  </si>
  <si>
    <t xml:space="preserve">MERCADO MENDIETA ALEJANDRO                        </t>
  </si>
  <si>
    <t xml:space="preserve">MERCADO POSADAS RAYMUNDO                          </t>
  </si>
  <si>
    <t xml:space="preserve">MERCADO POSADAS SERGIO MANUEL                     </t>
  </si>
  <si>
    <t xml:space="preserve">MERCED AIBAR CANDIDO                              </t>
  </si>
  <si>
    <t xml:space="preserve">MERCED AIBAR CARLOS                               </t>
  </si>
  <si>
    <t xml:space="preserve">MERCED AIBAR MARGARITO                            </t>
  </si>
  <si>
    <t xml:space="preserve">MIRALRIO ALMAZAN ROBERTO                          </t>
  </si>
  <si>
    <t xml:space="preserve">MORALES LOZA FRANCISCO                            </t>
  </si>
  <si>
    <t xml:space="preserve">NIETO SALAZAR FAUSTINO                            </t>
  </si>
  <si>
    <t xml:space="preserve">OCHOA MENDOZA ANGELICA                            </t>
  </si>
  <si>
    <t xml:space="preserve">OCHOA RENDON ABRAHAM                              </t>
  </si>
  <si>
    <t>30210280555</t>
  </si>
  <si>
    <t xml:space="preserve">ORTEGA SANTANA JIMENA                             </t>
  </si>
  <si>
    <t>38200405926</t>
  </si>
  <si>
    <t xml:space="preserve">ORTEGA SANTANA JOSE URIEL                         </t>
  </si>
  <si>
    <t xml:space="preserve">ORTEGA SANTANA JUSTINIANO                         </t>
  </si>
  <si>
    <t xml:space="preserve">ORTEGA SANTANA PETRONILO                          </t>
  </si>
  <si>
    <t xml:space="preserve">OSORIO ARRIAGA JOEL                               </t>
  </si>
  <si>
    <t xml:space="preserve">OSORIO ARRIAGA YAHIR                              </t>
  </si>
  <si>
    <t>09168514819</t>
  </si>
  <si>
    <t xml:space="preserve">OSORIO HERNANDEZ SOFIA                            </t>
  </si>
  <si>
    <t xml:space="preserve">OSORIO OSORIO INOCENCIO                           </t>
  </si>
  <si>
    <t xml:space="preserve">OSORIO QUINTANA ARTURO                            </t>
  </si>
  <si>
    <t>07199541355</t>
  </si>
  <si>
    <t xml:space="preserve">OSORIO VIDAL ADELA                                </t>
  </si>
  <si>
    <t xml:space="preserve">OSORIO VIDAL NUBIA                                </t>
  </si>
  <si>
    <t xml:space="preserve">PACHECO JUAREZ SALOMON                            </t>
  </si>
  <si>
    <t>02200668990</t>
  </si>
  <si>
    <t xml:space="preserve">PE#A MERCADO JUAN PABLO                           </t>
  </si>
  <si>
    <t>12130165199</t>
  </si>
  <si>
    <t xml:space="preserve">PONCE MARTINEZ MARTHA LAURA                       </t>
  </si>
  <si>
    <t xml:space="preserve">PONCE PEDRAZA GENARO                              </t>
  </si>
  <si>
    <t xml:space="preserve">PONCE PEDRAZA GUADALUPE                           </t>
  </si>
  <si>
    <t xml:space="preserve">PONCE PEDRAZA LUIS                                </t>
  </si>
  <si>
    <t xml:space="preserve">QUINTANA GUADARRAMA CANDIDO                       </t>
  </si>
  <si>
    <t xml:space="preserve">RAFAEL GOMEZ ALICIA                               </t>
  </si>
  <si>
    <t xml:space="preserve">RAMIREZ CARDOSO LUIS YAGAN                        </t>
  </si>
  <si>
    <t>16109236642</t>
  </si>
  <si>
    <t xml:space="preserve">RAMIREZ CIRIACO JUAN CARLOS                       </t>
  </si>
  <si>
    <t xml:space="preserve">RAMIREZ GONZALEZ JUAN GERARDO                     </t>
  </si>
  <si>
    <t xml:space="preserve">RAMIREZ GONZALEZ LEONARDO ANTONIO                 </t>
  </si>
  <si>
    <t xml:space="preserve">RAMIREZ GUADARRAMA DONALDO                        </t>
  </si>
  <si>
    <t xml:space="preserve">RAMIREZ GUADARRAMA OCTAVIO                        </t>
  </si>
  <si>
    <t xml:space="preserve">RAMIREZ REYES IGNACIO                             </t>
  </si>
  <si>
    <t xml:space="preserve">RAMIREZ REYES J. SANTOS                           </t>
  </si>
  <si>
    <t xml:space="preserve">RAMIREZ SANCHEZ LUIS ALBERTO                      </t>
  </si>
  <si>
    <t xml:space="preserve">RAYMUNDO GOMEZ HELADIO                            </t>
  </si>
  <si>
    <t xml:space="preserve">REYES AVILA JESUS                                 </t>
  </si>
  <si>
    <t xml:space="preserve">REYES CARMONA ALEJANDRO                           </t>
  </si>
  <si>
    <t xml:space="preserve">REYES CARMONA FELIPE                              </t>
  </si>
  <si>
    <t xml:space="preserve">REYES CARMONA WILIBALDO                           </t>
  </si>
  <si>
    <t xml:space="preserve">REYES GUILLERMO KARINA                            </t>
  </si>
  <si>
    <t xml:space="preserve">REYES PI#A PABLO                                  </t>
  </si>
  <si>
    <t xml:space="preserve">REYES RUIZ JUAN MANUEL                            </t>
  </si>
  <si>
    <t xml:space="preserve">REYES VILCHIS ARTURO                              </t>
  </si>
  <si>
    <t xml:space="preserve">RIOS GALICIA SERGIO IVAN                          </t>
  </si>
  <si>
    <t>83220780742</t>
  </si>
  <si>
    <t xml:space="preserve">RODRIGUEZ HERNANDEZ VALENTIN                      </t>
  </si>
  <si>
    <t xml:space="preserve">RODRIGUEZ SANCHEZ PEDRO                           </t>
  </si>
  <si>
    <t xml:space="preserve">ROQUE SALVADOR ADOLFO                             </t>
  </si>
  <si>
    <t xml:space="preserve">SALINAS SANCHEZ DIEGO                             </t>
  </si>
  <si>
    <t xml:space="preserve">SALVADOR GARCIA EPIFANIO                          </t>
  </si>
  <si>
    <t>16118611470</t>
  </si>
  <si>
    <t xml:space="preserve">SANCHEZ BARTOLO MARCO ANTONIO                     </t>
  </si>
  <si>
    <t xml:space="preserve">SANTORO  MARTINA ELISA                            </t>
  </si>
  <si>
    <t xml:space="preserve">SETA  JUAN CARLOS                                 </t>
  </si>
  <si>
    <t xml:space="preserve">SOTO REYES JUAN                                   </t>
  </si>
  <si>
    <t>26250654154</t>
  </si>
  <si>
    <t xml:space="preserve">TORRES GONZALEZ FELIX                             </t>
  </si>
  <si>
    <t>06168884077</t>
  </si>
  <si>
    <t xml:space="preserve">TRINIDAD ESTRADA RAQUEL                           </t>
  </si>
  <si>
    <t xml:space="preserve">VALDEZ LUNA PATRICIA                              </t>
  </si>
  <si>
    <t xml:space="preserve">VALDEZ NAZARIO DIEGO                              </t>
  </si>
  <si>
    <t xml:space="preserve">VARGAS VILCHIS ISAURO                             </t>
  </si>
  <si>
    <t>19160295861</t>
  </si>
  <si>
    <t xml:space="preserve">VERA SANCHEZ JOSE LUIS                            </t>
  </si>
  <si>
    <t>18/FEB/2026</t>
  </si>
  <si>
    <t>25250714984</t>
  </si>
  <si>
    <t xml:space="preserve">VIDAL MERCADO AXEL JAHEL                          </t>
  </si>
  <si>
    <t xml:space="preserve">VIDAL SABAS BEATRIZ                               </t>
  </si>
  <si>
    <t xml:space="preserve">VILCHIS AVILA ISMAEL                              </t>
  </si>
  <si>
    <t xml:space="preserve">ZARCO VERA CARLOS                                 </t>
  </si>
  <si>
    <t xml:space="preserve">ZARCO VERA MARTIN                                 </t>
  </si>
  <si>
    <t xml:space="preserve">ZEPEDA CORTES RODRIGO                             </t>
  </si>
  <si>
    <t>1/ENE/2026</t>
  </si>
  <si>
    <t>10/ENE/2026</t>
  </si>
  <si>
    <t>10189808537</t>
  </si>
  <si>
    <t xml:space="preserve">FAJARDO JIMENEZ HERNAN                            </t>
  </si>
  <si>
    <t>27/ENE/2026</t>
  </si>
  <si>
    <t>9/ENE/2026</t>
  </si>
  <si>
    <t xml:space="preserve">GONZALEZ PEREZ JAVIER JESUS                       </t>
  </si>
  <si>
    <t>19/ENE/2026</t>
  </si>
  <si>
    <t>5/ENE/2026</t>
  </si>
  <si>
    <t>2/ENE/2026</t>
  </si>
  <si>
    <t xml:space="preserve">SANCHEZ VENANCIO TOMAS                            </t>
  </si>
  <si>
    <t>20/ENE/2026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</si>
</sst>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name val="Aptos Display"/>
      <family val="2"/>
      <scheme val="major"/>
    </font>
    <font>
      <sz val="9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0"/>
      <name val="Aptos Display"/>
      <family val="2"/>
      <scheme val="major"/>
    </font>
    <font>
      <b/>
      <sz val="20"/>
      <color theme="1"/>
      <name val="Aptos Narrow"/>
      <family val="2"/>
      <scheme val="minor"/>
    </font>
    <font>
      <b/>
      <sz val="11"/>
      <name val="Arial"/>
    </font>
    <font>
      <b/>
      <sz val="10"/>
      <name val="Arial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AD8FB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1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0" fillId="2" borderId="0" xfId="0" applyFill="1"/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6" fillId="2" borderId="6" xfId="0" applyFont="1" applyFill="1" applyBorder="1"/>
    <xf numFmtId="0" fontId="6" fillId="2" borderId="0" xfId="0" applyFont="1" applyFill="1"/>
    <xf numFmtId="0" fontId="6" fillId="2" borderId="7" xfId="0" applyFont="1" applyFill="1" applyBorder="1"/>
    <xf numFmtId="0" fontId="6" fillId="2" borderId="8" xfId="0" applyFont="1" applyFill="1" applyBorder="1"/>
    <xf numFmtId="0" fontId="6" fillId="8" borderId="13" xfId="0" applyFont="1" applyFill="1" applyBorder="1"/>
    <xf numFmtId="44" fontId="6" fillId="8" borderId="14" xfId="2" applyFont="1" applyFill="1" applyBorder="1" applyAlignment="1"/>
    <xf numFmtId="0" fontId="6" fillId="8" borderId="15" xfId="0" applyFont="1" applyFill="1" applyBorder="1"/>
    <xf numFmtId="44" fontId="6" fillId="8" borderId="16" xfId="2" applyFont="1" applyFill="1" applyBorder="1" applyAlignment="1"/>
    <xf numFmtId="0" fontId="6" fillId="7" borderId="17" xfId="0" applyFont="1" applyFill="1" applyBorder="1"/>
    <xf numFmtId="44" fontId="6" fillId="7" borderId="1" xfId="2" applyFont="1" applyFill="1" applyBorder="1" applyAlignment="1"/>
    <xf numFmtId="0" fontId="6" fillId="7" borderId="18" xfId="0" applyFont="1" applyFill="1" applyBorder="1"/>
    <xf numFmtId="44" fontId="6" fillId="7" borderId="19" xfId="2" applyFont="1" applyFill="1" applyBorder="1" applyAlignment="1"/>
    <xf numFmtId="0" fontId="6" fillId="6" borderId="17" xfId="0" applyFont="1" applyFill="1" applyBorder="1"/>
    <xf numFmtId="44" fontId="6" fillId="6" borderId="1" xfId="2" applyFont="1" applyFill="1" applyBorder="1" applyAlignment="1"/>
    <xf numFmtId="44" fontId="6" fillId="6" borderId="19" xfId="2" applyFont="1" applyFill="1" applyBorder="1" applyAlignment="1"/>
    <xf numFmtId="0" fontId="6" fillId="13" borderId="17" xfId="0" applyFont="1" applyFill="1" applyBorder="1"/>
    <xf numFmtId="44" fontId="6" fillId="13" borderId="1" xfId="2" applyFont="1" applyFill="1" applyBorder="1" applyAlignment="1">
      <alignment horizontal="left"/>
    </xf>
    <xf numFmtId="0" fontId="6" fillId="13" borderId="18" xfId="0" applyFont="1" applyFill="1" applyBorder="1"/>
    <xf numFmtId="44" fontId="6" fillId="13" borderId="19" xfId="2" applyFont="1" applyFill="1" applyBorder="1" applyAlignment="1">
      <alignment horizontal="left"/>
    </xf>
    <xf numFmtId="0" fontId="6" fillId="14" borderId="17" xfId="0" applyFont="1" applyFill="1" applyBorder="1"/>
    <xf numFmtId="44" fontId="6" fillId="14" borderId="20" xfId="2" applyFont="1" applyFill="1" applyBorder="1" applyAlignment="1"/>
    <xf numFmtId="0" fontId="6" fillId="14" borderId="18" xfId="0" applyFont="1" applyFill="1" applyBorder="1"/>
    <xf numFmtId="44" fontId="6" fillId="14" borderId="21" xfId="2" applyFont="1" applyFill="1" applyBorder="1" applyAlignment="1"/>
    <xf numFmtId="44" fontId="5" fillId="2" borderId="22" xfId="0" applyNumberFormat="1" applyFont="1" applyFill="1" applyBorder="1"/>
    <xf numFmtId="44" fontId="5" fillId="2" borderId="23" xfId="0" applyNumberFormat="1" applyFont="1" applyFill="1" applyBorder="1"/>
    <xf numFmtId="0" fontId="6" fillId="2" borderId="6" xfId="0" applyFont="1" applyFill="1" applyBorder="1" applyAlignment="1">
      <alignment horizontal="center"/>
    </xf>
    <xf numFmtId="44" fontId="6" fillId="2" borderId="0" xfId="0" applyNumberFormat="1" applyFont="1" applyFill="1"/>
    <xf numFmtId="44" fontId="6" fillId="2" borderId="8" xfId="0" applyNumberFormat="1" applyFont="1" applyFill="1" applyBorder="1"/>
    <xf numFmtId="44" fontId="6" fillId="2" borderId="24" xfId="0" applyNumberFormat="1" applyFont="1" applyFill="1" applyBorder="1"/>
    <xf numFmtId="0" fontId="6" fillId="2" borderId="25" xfId="0" applyFont="1" applyFill="1" applyBorder="1"/>
    <xf numFmtId="0" fontId="6" fillId="2" borderId="26" xfId="0" applyFont="1" applyFill="1" applyBorder="1"/>
    <xf numFmtId="43" fontId="6" fillId="2" borderId="0" xfId="1" applyFont="1" applyFill="1" applyAlignment="1"/>
    <xf numFmtId="43" fontId="6" fillId="2" borderId="0" xfId="0" applyNumberFormat="1" applyFont="1" applyFill="1"/>
    <xf numFmtId="44" fontId="8" fillId="15" borderId="28" xfId="0" applyNumberFormat="1" applyFont="1" applyFill="1" applyBorder="1" applyAlignment="1">
      <alignment wrapText="1"/>
    </xf>
    <xf numFmtId="44" fontId="8" fillId="15" borderId="29" xfId="0" applyNumberFormat="1" applyFont="1" applyFill="1" applyBorder="1" applyAlignment="1">
      <alignment wrapText="1"/>
    </xf>
    <xf numFmtId="0" fontId="5" fillId="2" borderId="0" xfId="0" applyFont="1" applyFill="1" applyAlignment="1">
      <alignment horizontal="center"/>
    </xf>
    <xf numFmtId="43" fontId="6" fillId="2" borderId="36" xfId="0" applyNumberFormat="1" applyFont="1" applyFill="1" applyBorder="1"/>
    <xf numFmtId="0" fontId="8" fillId="15" borderId="27" xfId="0" applyFont="1" applyFill="1" applyBorder="1"/>
    <xf numFmtId="0" fontId="6" fillId="15" borderId="28" xfId="0" applyFont="1" applyFill="1" applyBorder="1"/>
    <xf numFmtId="0" fontId="6" fillId="15" borderId="29" xfId="0" applyFont="1" applyFill="1" applyBorder="1"/>
    <xf numFmtId="0" fontId="6" fillId="2" borderId="30" xfId="0" applyFont="1" applyFill="1" applyBorder="1"/>
    <xf numFmtId="44" fontId="6" fillId="2" borderId="32" xfId="0" applyNumberFormat="1" applyFont="1" applyFill="1" applyBorder="1"/>
    <xf numFmtId="0" fontId="6" fillId="2" borderId="33" xfId="0" applyFont="1" applyFill="1" applyBorder="1"/>
    <xf numFmtId="44" fontId="6" fillId="2" borderId="34" xfId="0" applyNumberFormat="1" applyFont="1" applyFill="1" applyBorder="1"/>
    <xf numFmtId="44" fontId="6" fillId="2" borderId="33" xfId="0" applyNumberFormat="1" applyFont="1" applyFill="1" applyBorder="1"/>
    <xf numFmtId="0" fontId="5" fillId="2" borderId="33" xfId="0" applyFont="1" applyFill="1" applyBorder="1"/>
    <xf numFmtId="44" fontId="5" fillId="2" borderId="34" xfId="0" applyNumberFormat="1" applyFont="1" applyFill="1" applyBorder="1"/>
    <xf numFmtId="0" fontId="6" fillId="2" borderId="35" xfId="0" applyFont="1" applyFill="1" applyBorder="1"/>
    <xf numFmtId="44" fontId="6" fillId="2" borderId="37" xfId="0" applyNumberFormat="1" applyFont="1" applyFill="1" applyBorder="1"/>
    <xf numFmtId="44" fontId="5" fillId="2" borderId="0" xfId="0" applyNumberFormat="1" applyFont="1" applyFill="1"/>
    <xf numFmtId="0" fontId="3" fillId="3" borderId="40" xfId="0" applyFont="1" applyFill="1" applyBorder="1" applyAlignment="1">
      <alignment horizontal="center" vertical="center" wrapText="1"/>
    </xf>
    <xf numFmtId="43" fontId="3" fillId="2" borderId="0" xfId="0" applyNumberFormat="1" applyFont="1" applyFill="1" applyAlignment="1">
      <alignment horizontal="center" vertical="center"/>
    </xf>
    <xf numFmtId="43" fontId="3" fillId="17" borderId="0" xfId="0" applyNumberFormat="1" applyFont="1" applyFill="1" applyAlignment="1">
      <alignment horizontal="center" vertical="center"/>
    </xf>
    <xf numFmtId="0" fontId="3" fillId="17" borderId="41" xfId="0" applyFont="1" applyFill="1" applyBorder="1" applyAlignment="1">
      <alignment horizontal="center" vertical="center"/>
    </xf>
    <xf numFmtId="43" fontId="3" fillId="17" borderId="0" xfId="1" applyFont="1" applyFill="1" applyAlignment="1">
      <alignment horizontal="center" vertical="center"/>
    </xf>
    <xf numFmtId="44" fontId="5" fillId="8" borderId="0" xfId="2" applyFont="1" applyFill="1" applyAlignment="1">
      <alignment vertical="center"/>
    </xf>
    <xf numFmtId="43" fontId="3" fillId="18" borderId="0" xfId="0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9" xfId="0" applyFont="1" applyFill="1" applyBorder="1" applyAlignment="1">
      <alignment horizontal="center" vertical="center"/>
    </xf>
    <xf numFmtId="43" fontId="4" fillId="2" borderId="2" xfId="0" applyNumberFormat="1" applyFont="1" applyFill="1" applyBorder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left" vertical="center"/>
    </xf>
    <xf numFmtId="43" fontId="4" fillId="2" borderId="0" xfId="0" applyNumberFormat="1" applyFont="1" applyFill="1" applyAlignment="1">
      <alignment horizontal="center" vertical="center"/>
    </xf>
    <xf numFmtId="43" fontId="4" fillId="16" borderId="0" xfId="0" applyNumberFormat="1" applyFont="1" applyFill="1" applyAlignment="1">
      <alignment horizontal="center" vertical="center"/>
    </xf>
    <xf numFmtId="43" fontId="3" fillId="18" borderId="0" xfId="1" applyFont="1" applyFill="1" applyAlignment="1">
      <alignment horizontal="center" vertical="center"/>
    </xf>
    <xf numFmtId="43" fontId="9" fillId="2" borderId="0" xfId="1" applyFont="1" applyFill="1"/>
    <xf numFmtId="0" fontId="2" fillId="2" borderId="0" xfId="0" applyFont="1" applyFill="1"/>
    <xf numFmtId="43" fontId="0" fillId="2" borderId="0" xfId="1" applyFont="1" applyFill="1"/>
    <xf numFmtId="0" fontId="2" fillId="2" borderId="0" xfId="0" applyFont="1" applyFill="1" applyAlignment="1">
      <alignment horizontal="right"/>
    </xf>
    <xf numFmtId="44" fontId="0" fillId="2" borderId="0" xfId="0" applyNumberFormat="1" applyFill="1"/>
    <xf numFmtId="43" fontId="0" fillId="2" borderId="0" xfId="0" applyNumberFormat="1" applyFill="1"/>
    <xf numFmtId="44" fontId="0" fillId="2" borderId="42" xfId="0" applyNumberFormat="1" applyFill="1" applyBorder="1"/>
    <xf numFmtId="0" fontId="0" fillId="2" borderId="7" xfId="0" applyFill="1" applyBorder="1"/>
    <xf numFmtId="8" fontId="0" fillId="7" borderId="42" xfId="0" applyNumberFormat="1" applyFill="1" applyBorder="1"/>
    <xf numFmtId="0" fontId="0" fillId="2" borderId="42" xfId="0" applyFill="1" applyBorder="1"/>
    <xf numFmtId="44" fontId="0" fillId="2" borderId="44" xfId="0" applyNumberFormat="1" applyFill="1" applyBorder="1"/>
    <xf numFmtId="8" fontId="0" fillId="7" borderId="44" xfId="0" applyNumberFormat="1" applyFill="1" applyBorder="1"/>
    <xf numFmtId="0" fontId="0" fillId="2" borderId="44" xfId="0" applyFill="1" applyBorder="1"/>
    <xf numFmtId="0" fontId="0" fillId="7" borderId="44" xfId="0" applyFill="1" applyBorder="1"/>
    <xf numFmtId="0" fontId="0" fillId="2" borderId="47" xfId="0" applyFill="1" applyBorder="1"/>
    <xf numFmtId="44" fontId="0" fillId="2" borderId="48" xfId="0" applyNumberFormat="1" applyFill="1" applyBorder="1"/>
    <xf numFmtId="0" fontId="0" fillId="7" borderId="47" xfId="0" applyFill="1" applyBorder="1"/>
    <xf numFmtId="44" fontId="0" fillId="2" borderId="47" xfId="0" applyNumberFormat="1" applyFill="1" applyBorder="1"/>
    <xf numFmtId="44" fontId="0" fillId="2" borderId="0" xfId="0" applyNumberFormat="1" applyFill="1" applyAlignment="1">
      <alignment vertical="center"/>
    </xf>
    <xf numFmtId="44" fontId="0" fillId="2" borderId="0" xfId="2" applyFont="1" applyFill="1" applyAlignment="1">
      <alignment vertical="center"/>
    </xf>
    <xf numFmtId="44" fontId="0" fillId="2" borderId="0" xfId="2" applyFont="1" applyFill="1"/>
    <xf numFmtId="0" fontId="2" fillId="2" borderId="49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10" fillId="2" borderId="52" xfId="0" applyFont="1" applyFill="1" applyBorder="1" applyAlignment="1">
      <alignment horizontal="center"/>
    </xf>
    <xf numFmtId="0" fontId="10" fillId="2" borderId="51" xfId="0" applyFont="1" applyFill="1" applyBorder="1" applyAlignment="1">
      <alignment horizontal="center"/>
    </xf>
    <xf numFmtId="0" fontId="10" fillId="2" borderId="50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44" fontId="8" fillId="15" borderId="27" xfId="0" applyNumberFormat="1" applyFont="1" applyFill="1" applyBorder="1" applyAlignment="1">
      <alignment horizontal="center" wrapText="1"/>
    </xf>
    <xf numFmtId="44" fontId="8" fillId="15" borderId="28" xfId="0" applyNumberFormat="1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43" fontId="6" fillId="2" borderId="33" xfId="1" applyFont="1" applyFill="1" applyBorder="1" applyAlignment="1">
      <alignment horizontal="center"/>
    </xf>
    <xf numFmtId="43" fontId="6" fillId="2" borderId="0" xfId="1" applyFont="1" applyFill="1" applyBorder="1" applyAlignment="1">
      <alignment horizontal="center"/>
    </xf>
    <xf numFmtId="44" fontId="6" fillId="2" borderId="33" xfId="0" applyNumberFormat="1" applyFont="1" applyFill="1" applyBorder="1" applyAlignment="1">
      <alignment horizontal="center"/>
    </xf>
    <xf numFmtId="44" fontId="6" fillId="2" borderId="0" xfId="0" applyNumberFormat="1" applyFont="1" applyFill="1" applyAlignment="1">
      <alignment horizontal="center"/>
    </xf>
    <xf numFmtId="44" fontId="6" fillId="2" borderId="34" xfId="0" applyNumberFormat="1" applyFont="1" applyFill="1" applyBorder="1" applyAlignment="1">
      <alignment horizontal="center"/>
    </xf>
    <xf numFmtId="43" fontId="6" fillId="2" borderId="33" xfId="0" applyNumberFormat="1" applyFont="1" applyFill="1" applyBorder="1" applyAlignment="1">
      <alignment horizontal="center"/>
    </xf>
    <xf numFmtId="43" fontId="6" fillId="2" borderId="0" xfId="0" applyNumberFormat="1" applyFont="1" applyFill="1" applyAlignment="1">
      <alignment horizontal="center"/>
    </xf>
    <xf numFmtId="43" fontId="6" fillId="2" borderId="34" xfId="0" applyNumberFormat="1" applyFont="1" applyFill="1" applyBorder="1" applyAlignment="1">
      <alignment horizontal="center"/>
    </xf>
    <xf numFmtId="43" fontId="6" fillId="2" borderId="35" xfId="1" applyFont="1" applyFill="1" applyBorder="1" applyAlignment="1">
      <alignment horizontal="center"/>
    </xf>
    <xf numFmtId="43" fontId="6" fillId="2" borderId="36" xfId="1" applyFont="1" applyFill="1" applyBorder="1" applyAlignment="1">
      <alignment horizontal="center"/>
    </xf>
    <xf numFmtId="43" fontId="6" fillId="2" borderId="35" xfId="0" applyNumberFormat="1" applyFont="1" applyFill="1" applyBorder="1" applyAlignment="1">
      <alignment horizontal="center"/>
    </xf>
    <xf numFmtId="43" fontId="6" fillId="2" borderId="36" xfId="0" applyNumberFormat="1" applyFont="1" applyFill="1" applyBorder="1" applyAlignment="1">
      <alignment horizontal="center"/>
    </xf>
    <xf numFmtId="0" fontId="5" fillId="15" borderId="27" xfId="0" applyFont="1" applyFill="1" applyBorder="1" applyAlignment="1">
      <alignment horizontal="center"/>
    </xf>
    <xf numFmtId="0" fontId="5" fillId="15" borderId="29" xfId="0" applyFont="1" applyFill="1" applyBorder="1" applyAlignment="1">
      <alignment horizontal="center"/>
    </xf>
    <xf numFmtId="43" fontId="6" fillId="2" borderId="37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35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left"/>
    </xf>
    <xf numFmtId="0" fontId="12" fillId="9" borderId="1" xfId="0" applyFont="1" applyFill="1" applyBorder="1" applyAlignment="1">
      <alignment horizontal="center"/>
    </xf>
    <xf numFmtId="0" fontId="13" fillId="16" borderId="1" xfId="0" applyFont="1" applyFill="1" applyBorder="1" applyAlignment="1">
      <alignment horizontal="center"/>
    </xf>
    <xf numFmtId="43" fontId="13" fillId="16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2" fillId="9" borderId="1" xfId="0" applyFont="1" applyFill="1" applyBorder="1" applyAlignment="1">
      <alignment horizontal="left"/>
    </xf>
    <xf numFmtId="0" fontId="13" fillId="16" borderId="1" xfId="0" applyFont="1" applyFill="1" applyBorder="1" applyAlignment="1">
      <alignment horizontal="left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6731-BAF5-467F-89EC-9820B1197614}">
  <dimension ref="A3:S257"/>
  <sheetViews>
    <sheetView topLeftCell="I1" workbookViewId="0">
      <selection activeCell="R225" sqref="R225"/>
    </sheetView>
  </sheetViews>
  <sheetFormatPr baseColWidth="10" defaultColWidth="9.140625" defaultRowHeight="15" x14ac:dyDescent="0.25"/>
  <cols>
    <col min="1" max="1" width="13" customWidth="1"/>
    <col min="2" max="2" width="50" customWidth="1"/>
    <col min="3" max="3" width="21" customWidth="1"/>
    <col min="4" max="4" width="19" customWidth="1"/>
    <col min="5" max="5" width="20" customWidth="1"/>
    <col min="6" max="6" width="8" customWidth="1"/>
    <col min="7" max="7" width="14" customWidth="1"/>
    <col min="8" max="8" width="10" customWidth="1"/>
    <col min="9" max="9" width="18" customWidth="1"/>
    <col min="10" max="10" width="16" customWidth="1"/>
    <col min="11" max="11" width="31" customWidth="1"/>
    <col min="12" max="12" width="18.28515625" customWidth="1"/>
    <col min="13" max="13" width="25.85546875" customWidth="1"/>
    <col min="14" max="14" width="21" customWidth="1"/>
    <col min="15" max="15" width="18.28515625" customWidth="1"/>
    <col min="16" max="16" width="25" customWidth="1"/>
    <col min="17" max="17" width="23" customWidth="1"/>
    <col min="18" max="18" width="34" customWidth="1"/>
    <col min="19" max="19" width="20" customWidth="1"/>
    <col min="257" max="257" width="13" customWidth="1"/>
    <col min="258" max="258" width="50" customWidth="1"/>
    <col min="259" max="259" width="21" customWidth="1"/>
    <col min="260" max="260" width="19" customWidth="1"/>
    <col min="261" max="261" width="20" customWidth="1"/>
    <col min="262" max="262" width="8" customWidth="1"/>
    <col min="263" max="263" width="14" customWidth="1"/>
    <col min="264" max="264" width="10" customWidth="1"/>
    <col min="265" max="265" width="18" customWidth="1"/>
    <col min="266" max="266" width="16" customWidth="1"/>
    <col min="267" max="267" width="31" customWidth="1"/>
    <col min="268" max="268" width="29" customWidth="1"/>
    <col min="269" max="269" width="37" customWidth="1"/>
    <col min="270" max="270" width="35" customWidth="1"/>
    <col min="271" max="271" width="18" customWidth="1"/>
    <col min="272" max="272" width="25" customWidth="1"/>
    <col min="273" max="273" width="23" customWidth="1"/>
    <col min="274" max="274" width="34" customWidth="1"/>
    <col min="275" max="275" width="20" customWidth="1"/>
    <col min="513" max="513" width="13" customWidth="1"/>
    <col min="514" max="514" width="50" customWidth="1"/>
    <col min="515" max="515" width="21" customWidth="1"/>
    <col min="516" max="516" width="19" customWidth="1"/>
    <col min="517" max="517" width="20" customWidth="1"/>
    <col min="518" max="518" width="8" customWidth="1"/>
    <col min="519" max="519" width="14" customWidth="1"/>
    <col min="520" max="520" width="10" customWidth="1"/>
    <col min="521" max="521" width="18" customWidth="1"/>
    <col min="522" max="522" width="16" customWidth="1"/>
    <col min="523" max="523" width="31" customWidth="1"/>
    <col min="524" max="524" width="29" customWidth="1"/>
    <col min="525" max="525" width="37" customWidth="1"/>
    <col min="526" max="526" width="35" customWidth="1"/>
    <col min="527" max="527" width="18" customWidth="1"/>
    <col min="528" max="528" width="25" customWidth="1"/>
    <col min="529" max="529" width="23" customWidth="1"/>
    <col min="530" max="530" width="34" customWidth="1"/>
    <col min="531" max="531" width="20" customWidth="1"/>
    <col min="769" max="769" width="13" customWidth="1"/>
    <col min="770" max="770" width="50" customWidth="1"/>
    <col min="771" max="771" width="21" customWidth="1"/>
    <col min="772" max="772" width="19" customWidth="1"/>
    <col min="773" max="773" width="20" customWidth="1"/>
    <col min="774" max="774" width="8" customWidth="1"/>
    <col min="775" max="775" width="14" customWidth="1"/>
    <col min="776" max="776" width="10" customWidth="1"/>
    <col min="777" max="777" width="18" customWidth="1"/>
    <col min="778" max="778" width="16" customWidth="1"/>
    <col min="779" max="779" width="31" customWidth="1"/>
    <col min="780" max="780" width="29" customWidth="1"/>
    <col min="781" max="781" width="37" customWidth="1"/>
    <col min="782" max="782" width="35" customWidth="1"/>
    <col min="783" max="783" width="18" customWidth="1"/>
    <col min="784" max="784" width="25" customWidth="1"/>
    <col min="785" max="785" width="23" customWidth="1"/>
    <col min="786" max="786" width="34" customWidth="1"/>
    <col min="787" max="787" width="20" customWidth="1"/>
    <col min="1025" max="1025" width="13" customWidth="1"/>
    <col min="1026" max="1026" width="50" customWidth="1"/>
    <col min="1027" max="1027" width="21" customWidth="1"/>
    <col min="1028" max="1028" width="19" customWidth="1"/>
    <col min="1029" max="1029" width="20" customWidth="1"/>
    <col min="1030" max="1030" width="8" customWidth="1"/>
    <col min="1031" max="1031" width="14" customWidth="1"/>
    <col min="1032" max="1032" width="10" customWidth="1"/>
    <col min="1033" max="1033" width="18" customWidth="1"/>
    <col min="1034" max="1034" width="16" customWidth="1"/>
    <col min="1035" max="1035" width="31" customWidth="1"/>
    <col min="1036" max="1036" width="29" customWidth="1"/>
    <col min="1037" max="1037" width="37" customWidth="1"/>
    <col min="1038" max="1038" width="35" customWidth="1"/>
    <col min="1039" max="1039" width="18" customWidth="1"/>
    <col min="1040" max="1040" width="25" customWidth="1"/>
    <col min="1041" max="1041" width="23" customWidth="1"/>
    <col min="1042" max="1042" width="34" customWidth="1"/>
    <col min="1043" max="1043" width="20" customWidth="1"/>
    <col min="1281" max="1281" width="13" customWidth="1"/>
    <col min="1282" max="1282" width="50" customWidth="1"/>
    <col min="1283" max="1283" width="21" customWidth="1"/>
    <col min="1284" max="1284" width="19" customWidth="1"/>
    <col min="1285" max="1285" width="20" customWidth="1"/>
    <col min="1286" max="1286" width="8" customWidth="1"/>
    <col min="1287" max="1287" width="14" customWidth="1"/>
    <col min="1288" max="1288" width="10" customWidth="1"/>
    <col min="1289" max="1289" width="18" customWidth="1"/>
    <col min="1290" max="1290" width="16" customWidth="1"/>
    <col min="1291" max="1291" width="31" customWidth="1"/>
    <col min="1292" max="1292" width="29" customWidth="1"/>
    <col min="1293" max="1293" width="37" customWidth="1"/>
    <col min="1294" max="1294" width="35" customWidth="1"/>
    <col min="1295" max="1295" width="18" customWidth="1"/>
    <col min="1296" max="1296" width="25" customWidth="1"/>
    <col min="1297" max="1297" width="23" customWidth="1"/>
    <col min="1298" max="1298" width="34" customWidth="1"/>
    <col min="1299" max="1299" width="20" customWidth="1"/>
    <col min="1537" max="1537" width="13" customWidth="1"/>
    <col min="1538" max="1538" width="50" customWidth="1"/>
    <col min="1539" max="1539" width="21" customWidth="1"/>
    <col min="1540" max="1540" width="19" customWidth="1"/>
    <col min="1541" max="1541" width="20" customWidth="1"/>
    <col min="1542" max="1542" width="8" customWidth="1"/>
    <col min="1543" max="1543" width="14" customWidth="1"/>
    <col min="1544" max="1544" width="10" customWidth="1"/>
    <col min="1545" max="1545" width="18" customWidth="1"/>
    <col min="1546" max="1546" width="16" customWidth="1"/>
    <col min="1547" max="1547" width="31" customWidth="1"/>
    <col min="1548" max="1548" width="29" customWidth="1"/>
    <col min="1549" max="1549" width="37" customWidth="1"/>
    <col min="1550" max="1550" width="35" customWidth="1"/>
    <col min="1551" max="1551" width="18" customWidth="1"/>
    <col min="1552" max="1552" width="25" customWidth="1"/>
    <col min="1553" max="1553" width="23" customWidth="1"/>
    <col min="1554" max="1554" width="34" customWidth="1"/>
    <col min="1555" max="1555" width="20" customWidth="1"/>
    <col min="1793" max="1793" width="13" customWidth="1"/>
    <col min="1794" max="1794" width="50" customWidth="1"/>
    <col min="1795" max="1795" width="21" customWidth="1"/>
    <col min="1796" max="1796" width="19" customWidth="1"/>
    <col min="1797" max="1797" width="20" customWidth="1"/>
    <col min="1798" max="1798" width="8" customWidth="1"/>
    <col min="1799" max="1799" width="14" customWidth="1"/>
    <col min="1800" max="1800" width="10" customWidth="1"/>
    <col min="1801" max="1801" width="18" customWidth="1"/>
    <col min="1802" max="1802" width="16" customWidth="1"/>
    <col min="1803" max="1803" width="31" customWidth="1"/>
    <col min="1804" max="1804" width="29" customWidth="1"/>
    <col min="1805" max="1805" width="37" customWidth="1"/>
    <col min="1806" max="1806" width="35" customWidth="1"/>
    <col min="1807" max="1807" width="18" customWidth="1"/>
    <col min="1808" max="1808" width="25" customWidth="1"/>
    <col min="1809" max="1809" width="23" customWidth="1"/>
    <col min="1810" max="1810" width="34" customWidth="1"/>
    <col min="1811" max="1811" width="20" customWidth="1"/>
    <col min="2049" max="2049" width="13" customWidth="1"/>
    <col min="2050" max="2050" width="50" customWidth="1"/>
    <col min="2051" max="2051" width="21" customWidth="1"/>
    <col min="2052" max="2052" width="19" customWidth="1"/>
    <col min="2053" max="2053" width="20" customWidth="1"/>
    <col min="2054" max="2054" width="8" customWidth="1"/>
    <col min="2055" max="2055" width="14" customWidth="1"/>
    <col min="2056" max="2056" width="10" customWidth="1"/>
    <col min="2057" max="2057" width="18" customWidth="1"/>
    <col min="2058" max="2058" width="16" customWidth="1"/>
    <col min="2059" max="2059" width="31" customWidth="1"/>
    <col min="2060" max="2060" width="29" customWidth="1"/>
    <col min="2061" max="2061" width="37" customWidth="1"/>
    <col min="2062" max="2062" width="35" customWidth="1"/>
    <col min="2063" max="2063" width="18" customWidth="1"/>
    <col min="2064" max="2064" width="25" customWidth="1"/>
    <col min="2065" max="2065" width="23" customWidth="1"/>
    <col min="2066" max="2066" width="34" customWidth="1"/>
    <col min="2067" max="2067" width="20" customWidth="1"/>
    <col min="2305" max="2305" width="13" customWidth="1"/>
    <col min="2306" max="2306" width="50" customWidth="1"/>
    <col min="2307" max="2307" width="21" customWidth="1"/>
    <col min="2308" max="2308" width="19" customWidth="1"/>
    <col min="2309" max="2309" width="20" customWidth="1"/>
    <col min="2310" max="2310" width="8" customWidth="1"/>
    <col min="2311" max="2311" width="14" customWidth="1"/>
    <col min="2312" max="2312" width="10" customWidth="1"/>
    <col min="2313" max="2313" width="18" customWidth="1"/>
    <col min="2314" max="2314" width="16" customWidth="1"/>
    <col min="2315" max="2315" width="31" customWidth="1"/>
    <col min="2316" max="2316" width="29" customWidth="1"/>
    <col min="2317" max="2317" width="37" customWidth="1"/>
    <col min="2318" max="2318" width="35" customWidth="1"/>
    <col min="2319" max="2319" width="18" customWidth="1"/>
    <col min="2320" max="2320" width="25" customWidth="1"/>
    <col min="2321" max="2321" width="23" customWidth="1"/>
    <col min="2322" max="2322" width="34" customWidth="1"/>
    <col min="2323" max="2323" width="20" customWidth="1"/>
    <col min="2561" max="2561" width="13" customWidth="1"/>
    <col min="2562" max="2562" width="50" customWidth="1"/>
    <col min="2563" max="2563" width="21" customWidth="1"/>
    <col min="2564" max="2564" width="19" customWidth="1"/>
    <col min="2565" max="2565" width="20" customWidth="1"/>
    <col min="2566" max="2566" width="8" customWidth="1"/>
    <col min="2567" max="2567" width="14" customWidth="1"/>
    <col min="2568" max="2568" width="10" customWidth="1"/>
    <col min="2569" max="2569" width="18" customWidth="1"/>
    <col min="2570" max="2570" width="16" customWidth="1"/>
    <col min="2571" max="2571" width="31" customWidth="1"/>
    <col min="2572" max="2572" width="29" customWidth="1"/>
    <col min="2573" max="2573" width="37" customWidth="1"/>
    <col min="2574" max="2574" width="35" customWidth="1"/>
    <col min="2575" max="2575" width="18" customWidth="1"/>
    <col min="2576" max="2576" width="25" customWidth="1"/>
    <col min="2577" max="2577" width="23" customWidth="1"/>
    <col min="2578" max="2578" width="34" customWidth="1"/>
    <col min="2579" max="2579" width="20" customWidth="1"/>
    <col min="2817" max="2817" width="13" customWidth="1"/>
    <col min="2818" max="2818" width="50" customWidth="1"/>
    <col min="2819" max="2819" width="21" customWidth="1"/>
    <col min="2820" max="2820" width="19" customWidth="1"/>
    <col min="2821" max="2821" width="20" customWidth="1"/>
    <col min="2822" max="2822" width="8" customWidth="1"/>
    <col min="2823" max="2823" width="14" customWidth="1"/>
    <col min="2824" max="2824" width="10" customWidth="1"/>
    <col min="2825" max="2825" width="18" customWidth="1"/>
    <col min="2826" max="2826" width="16" customWidth="1"/>
    <col min="2827" max="2827" width="31" customWidth="1"/>
    <col min="2828" max="2828" width="29" customWidth="1"/>
    <col min="2829" max="2829" width="37" customWidth="1"/>
    <col min="2830" max="2830" width="35" customWidth="1"/>
    <col min="2831" max="2831" width="18" customWidth="1"/>
    <col min="2832" max="2832" width="25" customWidth="1"/>
    <col min="2833" max="2833" width="23" customWidth="1"/>
    <col min="2834" max="2834" width="34" customWidth="1"/>
    <col min="2835" max="2835" width="20" customWidth="1"/>
    <col min="3073" max="3073" width="13" customWidth="1"/>
    <col min="3074" max="3074" width="50" customWidth="1"/>
    <col min="3075" max="3075" width="21" customWidth="1"/>
    <col min="3076" max="3076" width="19" customWidth="1"/>
    <col min="3077" max="3077" width="20" customWidth="1"/>
    <col min="3078" max="3078" width="8" customWidth="1"/>
    <col min="3079" max="3079" width="14" customWidth="1"/>
    <col min="3080" max="3080" width="10" customWidth="1"/>
    <col min="3081" max="3081" width="18" customWidth="1"/>
    <col min="3082" max="3082" width="16" customWidth="1"/>
    <col min="3083" max="3083" width="31" customWidth="1"/>
    <col min="3084" max="3084" width="29" customWidth="1"/>
    <col min="3085" max="3085" width="37" customWidth="1"/>
    <col min="3086" max="3086" width="35" customWidth="1"/>
    <col min="3087" max="3087" width="18" customWidth="1"/>
    <col min="3088" max="3088" width="25" customWidth="1"/>
    <col min="3089" max="3089" width="23" customWidth="1"/>
    <col min="3090" max="3090" width="34" customWidth="1"/>
    <col min="3091" max="3091" width="20" customWidth="1"/>
    <col min="3329" max="3329" width="13" customWidth="1"/>
    <col min="3330" max="3330" width="50" customWidth="1"/>
    <col min="3331" max="3331" width="21" customWidth="1"/>
    <col min="3332" max="3332" width="19" customWidth="1"/>
    <col min="3333" max="3333" width="20" customWidth="1"/>
    <col min="3334" max="3334" width="8" customWidth="1"/>
    <col min="3335" max="3335" width="14" customWidth="1"/>
    <col min="3336" max="3336" width="10" customWidth="1"/>
    <col min="3337" max="3337" width="18" customWidth="1"/>
    <col min="3338" max="3338" width="16" customWidth="1"/>
    <col min="3339" max="3339" width="31" customWidth="1"/>
    <col min="3340" max="3340" width="29" customWidth="1"/>
    <col min="3341" max="3341" width="37" customWidth="1"/>
    <col min="3342" max="3342" width="35" customWidth="1"/>
    <col min="3343" max="3343" width="18" customWidth="1"/>
    <col min="3344" max="3344" width="25" customWidth="1"/>
    <col min="3345" max="3345" width="23" customWidth="1"/>
    <col min="3346" max="3346" width="34" customWidth="1"/>
    <col min="3347" max="3347" width="20" customWidth="1"/>
    <col min="3585" max="3585" width="13" customWidth="1"/>
    <col min="3586" max="3586" width="50" customWidth="1"/>
    <col min="3587" max="3587" width="21" customWidth="1"/>
    <col min="3588" max="3588" width="19" customWidth="1"/>
    <col min="3589" max="3589" width="20" customWidth="1"/>
    <col min="3590" max="3590" width="8" customWidth="1"/>
    <col min="3591" max="3591" width="14" customWidth="1"/>
    <col min="3592" max="3592" width="10" customWidth="1"/>
    <col min="3593" max="3593" width="18" customWidth="1"/>
    <col min="3594" max="3594" width="16" customWidth="1"/>
    <col min="3595" max="3595" width="31" customWidth="1"/>
    <col min="3596" max="3596" width="29" customWidth="1"/>
    <col min="3597" max="3597" width="37" customWidth="1"/>
    <col min="3598" max="3598" width="35" customWidth="1"/>
    <col min="3599" max="3599" width="18" customWidth="1"/>
    <col min="3600" max="3600" width="25" customWidth="1"/>
    <col min="3601" max="3601" width="23" customWidth="1"/>
    <col min="3602" max="3602" width="34" customWidth="1"/>
    <col min="3603" max="3603" width="20" customWidth="1"/>
    <col min="3841" max="3841" width="13" customWidth="1"/>
    <col min="3842" max="3842" width="50" customWidth="1"/>
    <col min="3843" max="3843" width="21" customWidth="1"/>
    <col min="3844" max="3844" width="19" customWidth="1"/>
    <col min="3845" max="3845" width="20" customWidth="1"/>
    <col min="3846" max="3846" width="8" customWidth="1"/>
    <col min="3847" max="3847" width="14" customWidth="1"/>
    <col min="3848" max="3848" width="10" customWidth="1"/>
    <col min="3849" max="3849" width="18" customWidth="1"/>
    <col min="3850" max="3850" width="16" customWidth="1"/>
    <col min="3851" max="3851" width="31" customWidth="1"/>
    <col min="3852" max="3852" width="29" customWidth="1"/>
    <col min="3853" max="3853" width="37" customWidth="1"/>
    <col min="3854" max="3854" width="35" customWidth="1"/>
    <col min="3855" max="3855" width="18" customWidth="1"/>
    <col min="3856" max="3856" width="25" customWidth="1"/>
    <col min="3857" max="3857" width="23" customWidth="1"/>
    <col min="3858" max="3858" width="34" customWidth="1"/>
    <col min="3859" max="3859" width="20" customWidth="1"/>
    <col min="4097" max="4097" width="13" customWidth="1"/>
    <col min="4098" max="4098" width="50" customWidth="1"/>
    <col min="4099" max="4099" width="21" customWidth="1"/>
    <col min="4100" max="4100" width="19" customWidth="1"/>
    <col min="4101" max="4101" width="20" customWidth="1"/>
    <col min="4102" max="4102" width="8" customWidth="1"/>
    <col min="4103" max="4103" width="14" customWidth="1"/>
    <col min="4104" max="4104" width="10" customWidth="1"/>
    <col min="4105" max="4105" width="18" customWidth="1"/>
    <col min="4106" max="4106" width="16" customWidth="1"/>
    <col min="4107" max="4107" width="31" customWidth="1"/>
    <col min="4108" max="4108" width="29" customWidth="1"/>
    <col min="4109" max="4109" width="37" customWidth="1"/>
    <col min="4110" max="4110" width="35" customWidth="1"/>
    <col min="4111" max="4111" width="18" customWidth="1"/>
    <col min="4112" max="4112" width="25" customWidth="1"/>
    <col min="4113" max="4113" width="23" customWidth="1"/>
    <col min="4114" max="4114" width="34" customWidth="1"/>
    <col min="4115" max="4115" width="20" customWidth="1"/>
    <col min="4353" max="4353" width="13" customWidth="1"/>
    <col min="4354" max="4354" width="50" customWidth="1"/>
    <col min="4355" max="4355" width="21" customWidth="1"/>
    <col min="4356" max="4356" width="19" customWidth="1"/>
    <col min="4357" max="4357" width="20" customWidth="1"/>
    <col min="4358" max="4358" width="8" customWidth="1"/>
    <col min="4359" max="4359" width="14" customWidth="1"/>
    <col min="4360" max="4360" width="10" customWidth="1"/>
    <col min="4361" max="4361" width="18" customWidth="1"/>
    <col min="4362" max="4362" width="16" customWidth="1"/>
    <col min="4363" max="4363" width="31" customWidth="1"/>
    <col min="4364" max="4364" width="29" customWidth="1"/>
    <col min="4365" max="4365" width="37" customWidth="1"/>
    <col min="4366" max="4366" width="35" customWidth="1"/>
    <col min="4367" max="4367" width="18" customWidth="1"/>
    <col min="4368" max="4368" width="25" customWidth="1"/>
    <col min="4369" max="4369" width="23" customWidth="1"/>
    <col min="4370" max="4370" width="34" customWidth="1"/>
    <col min="4371" max="4371" width="20" customWidth="1"/>
    <col min="4609" max="4609" width="13" customWidth="1"/>
    <col min="4610" max="4610" width="50" customWidth="1"/>
    <col min="4611" max="4611" width="21" customWidth="1"/>
    <col min="4612" max="4612" width="19" customWidth="1"/>
    <col min="4613" max="4613" width="20" customWidth="1"/>
    <col min="4614" max="4614" width="8" customWidth="1"/>
    <col min="4615" max="4615" width="14" customWidth="1"/>
    <col min="4616" max="4616" width="10" customWidth="1"/>
    <col min="4617" max="4617" width="18" customWidth="1"/>
    <col min="4618" max="4618" width="16" customWidth="1"/>
    <col min="4619" max="4619" width="31" customWidth="1"/>
    <col min="4620" max="4620" width="29" customWidth="1"/>
    <col min="4621" max="4621" width="37" customWidth="1"/>
    <col min="4622" max="4622" width="35" customWidth="1"/>
    <col min="4623" max="4623" width="18" customWidth="1"/>
    <col min="4624" max="4624" width="25" customWidth="1"/>
    <col min="4625" max="4625" width="23" customWidth="1"/>
    <col min="4626" max="4626" width="34" customWidth="1"/>
    <col min="4627" max="4627" width="20" customWidth="1"/>
    <col min="4865" max="4865" width="13" customWidth="1"/>
    <col min="4866" max="4866" width="50" customWidth="1"/>
    <col min="4867" max="4867" width="21" customWidth="1"/>
    <col min="4868" max="4868" width="19" customWidth="1"/>
    <col min="4869" max="4869" width="20" customWidth="1"/>
    <col min="4870" max="4870" width="8" customWidth="1"/>
    <col min="4871" max="4871" width="14" customWidth="1"/>
    <col min="4872" max="4872" width="10" customWidth="1"/>
    <col min="4873" max="4873" width="18" customWidth="1"/>
    <col min="4874" max="4874" width="16" customWidth="1"/>
    <col min="4875" max="4875" width="31" customWidth="1"/>
    <col min="4876" max="4876" width="29" customWidth="1"/>
    <col min="4877" max="4877" width="37" customWidth="1"/>
    <col min="4878" max="4878" width="35" customWidth="1"/>
    <col min="4879" max="4879" width="18" customWidth="1"/>
    <col min="4880" max="4880" width="25" customWidth="1"/>
    <col min="4881" max="4881" width="23" customWidth="1"/>
    <col min="4882" max="4882" width="34" customWidth="1"/>
    <col min="4883" max="4883" width="20" customWidth="1"/>
    <col min="5121" max="5121" width="13" customWidth="1"/>
    <col min="5122" max="5122" width="50" customWidth="1"/>
    <col min="5123" max="5123" width="21" customWidth="1"/>
    <col min="5124" max="5124" width="19" customWidth="1"/>
    <col min="5125" max="5125" width="20" customWidth="1"/>
    <col min="5126" max="5126" width="8" customWidth="1"/>
    <col min="5127" max="5127" width="14" customWidth="1"/>
    <col min="5128" max="5128" width="10" customWidth="1"/>
    <col min="5129" max="5129" width="18" customWidth="1"/>
    <col min="5130" max="5130" width="16" customWidth="1"/>
    <col min="5131" max="5131" width="31" customWidth="1"/>
    <col min="5132" max="5132" width="29" customWidth="1"/>
    <col min="5133" max="5133" width="37" customWidth="1"/>
    <col min="5134" max="5134" width="35" customWidth="1"/>
    <col min="5135" max="5135" width="18" customWidth="1"/>
    <col min="5136" max="5136" width="25" customWidth="1"/>
    <col min="5137" max="5137" width="23" customWidth="1"/>
    <col min="5138" max="5138" width="34" customWidth="1"/>
    <col min="5139" max="5139" width="20" customWidth="1"/>
    <col min="5377" max="5377" width="13" customWidth="1"/>
    <col min="5378" max="5378" width="50" customWidth="1"/>
    <col min="5379" max="5379" width="21" customWidth="1"/>
    <col min="5380" max="5380" width="19" customWidth="1"/>
    <col min="5381" max="5381" width="20" customWidth="1"/>
    <col min="5382" max="5382" width="8" customWidth="1"/>
    <col min="5383" max="5383" width="14" customWidth="1"/>
    <col min="5384" max="5384" width="10" customWidth="1"/>
    <col min="5385" max="5385" width="18" customWidth="1"/>
    <col min="5386" max="5386" width="16" customWidth="1"/>
    <col min="5387" max="5387" width="31" customWidth="1"/>
    <col min="5388" max="5388" width="29" customWidth="1"/>
    <col min="5389" max="5389" width="37" customWidth="1"/>
    <col min="5390" max="5390" width="35" customWidth="1"/>
    <col min="5391" max="5391" width="18" customWidth="1"/>
    <col min="5392" max="5392" width="25" customWidth="1"/>
    <col min="5393" max="5393" width="23" customWidth="1"/>
    <col min="5394" max="5394" width="34" customWidth="1"/>
    <col min="5395" max="5395" width="20" customWidth="1"/>
    <col min="5633" max="5633" width="13" customWidth="1"/>
    <col min="5634" max="5634" width="50" customWidth="1"/>
    <col min="5635" max="5635" width="21" customWidth="1"/>
    <col min="5636" max="5636" width="19" customWidth="1"/>
    <col min="5637" max="5637" width="20" customWidth="1"/>
    <col min="5638" max="5638" width="8" customWidth="1"/>
    <col min="5639" max="5639" width="14" customWidth="1"/>
    <col min="5640" max="5640" width="10" customWidth="1"/>
    <col min="5641" max="5641" width="18" customWidth="1"/>
    <col min="5642" max="5642" width="16" customWidth="1"/>
    <col min="5643" max="5643" width="31" customWidth="1"/>
    <col min="5644" max="5644" width="29" customWidth="1"/>
    <col min="5645" max="5645" width="37" customWidth="1"/>
    <col min="5646" max="5646" width="35" customWidth="1"/>
    <col min="5647" max="5647" width="18" customWidth="1"/>
    <col min="5648" max="5648" width="25" customWidth="1"/>
    <col min="5649" max="5649" width="23" customWidth="1"/>
    <col min="5650" max="5650" width="34" customWidth="1"/>
    <col min="5651" max="5651" width="20" customWidth="1"/>
    <col min="5889" max="5889" width="13" customWidth="1"/>
    <col min="5890" max="5890" width="50" customWidth="1"/>
    <col min="5891" max="5891" width="21" customWidth="1"/>
    <col min="5892" max="5892" width="19" customWidth="1"/>
    <col min="5893" max="5893" width="20" customWidth="1"/>
    <col min="5894" max="5894" width="8" customWidth="1"/>
    <col min="5895" max="5895" width="14" customWidth="1"/>
    <col min="5896" max="5896" width="10" customWidth="1"/>
    <col min="5897" max="5897" width="18" customWidth="1"/>
    <col min="5898" max="5898" width="16" customWidth="1"/>
    <col min="5899" max="5899" width="31" customWidth="1"/>
    <col min="5900" max="5900" width="29" customWidth="1"/>
    <col min="5901" max="5901" width="37" customWidth="1"/>
    <col min="5902" max="5902" width="35" customWidth="1"/>
    <col min="5903" max="5903" width="18" customWidth="1"/>
    <col min="5904" max="5904" width="25" customWidth="1"/>
    <col min="5905" max="5905" width="23" customWidth="1"/>
    <col min="5906" max="5906" width="34" customWidth="1"/>
    <col min="5907" max="5907" width="20" customWidth="1"/>
    <col min="6145" max="6145" width="13" customWidth="1"/>
    <col min="6146" max="6146" width="50" customWidth="1"/>
    <col min="6147" max="6147" width="21" customWidth="1"/>
    <col min="6148" max="6148" width="19" customWidth="1"/>
    <col min="6149" max="6149" width="20" customWidth="1"/>
    <col min="6150" max="6150" width="8" customWidth="1"/>
    <col min="6151" max="6151" width="14" customWidth="1"/>
    <col min="6152" max="6152" width="10" customWidth="1"/>
    <col min="6153" max="6153" width="18" customWidth="1"/>
    <col min="6154" max="6154" width="16" customWidth="1"/>
    <col min="6155" max="6155" width="31" customWidth="1"/>
    <col min="6156" max="6156" width="29" customWidth="1"/>
    <col min="6157" max="6157" width="37" customWidth="1"/>
    <col min="6158" max="6158" width="35" customWidth="1"/>
    <col min="6159" max="6159" width="18" customWidth="1"/>
    <col min="6160" max="6160" width="25" customWidth="1"/>
    <col min="6161" max="6161" width="23" customWidth="1"/>
    <col min="6162" max="6162" width="34" customWidth="1"/>
    <col min="6163" max="6163" width="20" customWidth="1"/>
    <col min="6401" max="6401" width="13" customWidth="1"/>
    <col min="6402" max="6402" width="50" customWidth="1"/>
    <col min="6403" max="6403" width="21" customWidth="1"/>
    <col min="6404" max="6404" width="19" customWidth="1"/>
    <col min="6405" max="6405" width="20" customWidth="1"/>
    <col min="6406" max="6406" width="8" customWidth="1"/>
    <col min="6407" max="6407" width="14" customWidth="1"/>
    <col min="6408" max="6408" width="10" customWidth="1"/>
    <col min="6409" max="6409" width="18" customWidth="1"/>
    <col min="6410" max="6410" width="16" customWidth="1"/>
    <col min="6411" max="6411" width="31" customWidth="1"/>
    <col min="6412" max="6412" width="29" customWidth="1"/>
    <col min="6413" max="6413" width="37" customWidth="1"/>
    <col min="6414" max="6414" width="35" customWidth="1"/>
    <col min="6415" max="6415" width="18" customWidth="1"/>
    <col min="6416" max="6416" width="25" customWidth="1"/>
    <col min="6417" max="6417" width="23" customWidth="1"/>
    <col min="6418" max="6418" width="34" customWidth="1"/>
    <col min="6419" max="6419" width="20" customWidth="1"/>
    <col min="6657" max="6657" width="13" customWidth="1"/>
    <col min="6658" max="6658" width="50" customWidth="1"/>
    <col min="6659" max="6659" width="21" customWidth="1"/>
    <col min="6660" max="6660" width="19" customWidth="1"/>
    <col min="6661" max="6661" width="20" customWidth="1"/>
    <col min="6662" max="6662" width="8" customWidth="1"/>
    <col min="6663" max="6663" width="14" customWidth="1"/>
    <col min="6664" max="6664" width="10" customWidth="1"/>
    <col min="6665" max="6665" width="18" customWidth="1"/>
    <col min="6666" max="6666" width="16" customWidth="1"/>
    <col min="6667" max="6667" width="31" customWidth="1"/>
    <col min="6668" max="6668" width="29" customWidth="1"/>
    <col min="6669" max="6669" width="37" customWidth="1"/>
    <col min="6670" max="6670" width="35" customWidth="1"/>
    <col min="6671" max="6671" width="18" customWidth="1"/>
    <col min="6672" max="6672" width="25" customWidth="1"/>
    <col min="6673" max="6673" width="23" customWidth="1"/>
    <col min="6674" max="6674" width="34" customWidth="1"/>
    <col min="6675" max="6675" width="20" customWidth="1"/>
    <col min="6913" max="6913" width="13" customWidth="1"/>
    <col min="6914" max="6914" width="50" customWidth="1"/>
    <col min="6915" max="6915" width="21" customWidth="1"/>
    <col min="6916" max="6916" width="19" customWidth="1"/>
    <col min="6917" max="6917" width="20" customWidth="1"/>
    <col min="6918" max="6918" width="8" customWidth="1"/>
    <col min="6919" max="6919" width="14" customWidth="1"/>
    <col min="6920" max="6920" width="10" customWidth="1"/>
    <col min="6921" max="6921" width="18" customWidth="1"/>
    <col min="6922" max="6922" width="16" customWidth="1"/>
    <col min="6923" max="6923" width="31" customWidth="1"/>
    <col min="6924" max="6924" width="29" customWidth="1"/>
    <col min="6925" max="6925" width="37" customWidth="1"/>
    <col min="6926" max="6926" width="35" customWidth="1"/>
    <col min="6927" max="6927" width="18" customWidth="1"/>
    <col min="6928" max="6928" width="25" customWidth="1"/>
    <col min="6929" max="6929" width="23" customWidth="1"/>
    <col min="6930" max="6930" width="34" customWidth="1"/>
    <col min="6931" max="6931" width="20" customWidth="1"/>
    <col min="7169" max="7169" width="13" customWidth="1"/>
    <col min="7170" max="7170" width="50" customWidth="1"/>
    <col min="7171" max="7171" width="21" customWidth="1"/>
    <col min="7172" max="7172" width="19" customWidth="1"/>
    <col min="7173" max="7173" width="20" customWidth="1"/>
    <col min="7174" max="7174" width="8" customWidth="1"/>
    <col min="7175" max="7175" width="14" customWidth="1"/>
    <col min="7176" max="7176" width="10" customWidth="1"/>
    <col min="7177" max="7177" width="18" customWidth="1"/>
    <col min="7178" max="7178" width="16" customWidth="1"/>
    <col min="7179" max="7179" width="31" customWidth="1"/>
    <col min="7180" max="7180" width="29" customWidth="1"/>
    <col min="7181" max="7181" width="37" customWidth="1"/>
    <col min="7182" max="7182" width="35" customWidth="1"/>
    <col min="7183" max="7183" width="18" customWidth="1"/>
    <col min="7184" max="7184" width="25" customWidth="1"/>
    <col min="7185" max="7185" width="23" customWidth="1"/>
    <col min="7186" max="7186" width="34" customWidth="1"/>
    <col min="7187" max="7187" width="20" customWidth="1"/>
    <col min="7425" max="7425" width="13" customWidth="1"/>
    <col min="7426" max="7426" width="50" customWidth="1"/>
    <col min="7427" max="7427" width="21" customWidth="1"/>
    <col min="7428" max="7428" width="19" customWidth="1"/>
    <col min="7429" max="7429" width="20" customWidth="1"/>
    <col min="7430" max="7430" width="8" customWidth="1"/>
    <col min="7431" max="7431" width="14" customWidth="1"/>
    <col min="7432" max="7432" width="10" customWidth="1"/>
    <col min="7433" max="7433" width="18" customWidth="1"/>
    <col min="7434" max="7434" width="16" customWidth="1"/>
    <col min="7435" max="7435" width="31" customWidth="1"/>
    <col min="7436" max="7436" width="29" customWidth="1"/>
    <col min="7437" max="7437" width="37" customWidth="1"/>
    <col min="7438" max="7438" width="35" customWidth="1"/>
    <col min="7439" max="7439" width="18" customWidth="1"/>
    <col min="7440" max="7440" width="25" customWidth="1"/>
    <col min="7441" max="7441" width="23" customWidth="1"/>
    <col min="7442" max="7442" width="34" customWidth="1"/>
    <col min="7443" max="7443" width="20" customWidth="1"/>
    <col min="7681" max="7681" width="13" customWidth="1"/>
    <col min="7682" max="7682" width="50" customWidth="1"/>
    <col min="7683" max="7683" width="21" customWidth="1"/>
    <col min="7684" max="7684" width="19" customWidth="1"/>
    <col min="7685" max="7685" width="20" customWidth="1"/>
    <col min="7686" max="7686" width="8" customWidth="1"/>
    <col min="7687" max="7687" width="14" customWidth="1"/>
    <col min="7688" max="7688" width="10" customWidth="1"/>
    <col min="7689" max="7689" width="18" customWidth="1"/>
    <col min="7690" max="7690" width="16" customWidth="1"/>
    <col min="7691" max="7691" width="31" customWidth="1"/>
    <col min="7692" max="7692" width="29" customWidth="1"/>
    <col min="7693" max="7693" width="37" customWidth="1"/>
    <col min="7694" max="7694" width="35" customWidth="1"/>
    <col min="7695" max="7695" width="18" customWidth="1"/>
    <col min="7696" max="7696" width="25" customWidth="1"/>
    <col min="7697" max="7697" width="23" customWidth="1"/>
    <col min="7698" max="7698" width="34" customWidth="1"/>
    <col min="7699" max="7699" width="20" customWidth="1"/>
    <col min="7937" max="7937" width="13" customWidth="1"/>
    <col min="7938" max="7938" width="50" customWidth="1"/>
    <col min="7939" max="7939" width="21" customWidth="1"/>
    <col min="7940" max="7940" width="19" customWidth="1"/>
    <col min="7941" max="7941" width="20" customWidth="1"/>
    <col min="7942" max="7942" width="8" customWidth="1"/>
    <col min="7943" max="7943" width="14" customWidth="1"/>
    <col min="7944" max="7944" width="10" customWidth="1"/>
    <col min="7945" max="7945" width="18" customWidth="1"/>
    <col min="7946" max="7946" width="16" customWidth="1"/>
    <col min="7947" max="7947" width="31" customWidth="1"/>
    <col min="7948" max="7948" width="29" customWidth="1"/>
    <col min="7949" max="7949" width="37" customWidth="1"/>
    <col min="7950" max="7950" width="35" customWidth="1"/>
    <col min="7951" max="7951" width="18" customWidth="1"/>
    <col min="7952" max="7952" width="25" customWidth="1"/>
    <col min="7953" max="7953" width="23" customWidth="1"/>
    <col min="7954" max="7954" width="34" customWidth="1"/>
    <col min="7955" max="7955" width="20" customWidth="1"/>
    <col min="8193" max="8193" width="13" customWidth="1"/>
    <col min="8194" max="8194" width="50" customWidth="1"/>
    <col min="8195" max="8195" width="21" customWidth="1"/>
    <col min="8196" max="8196" width="19" customWidth="1"/>
    <col min="8197" max="8197" width="20" customWidth="1"/>
    <col min="8198" max="8198" width="8" customWidth="1"/>
    <col min="8199" max="8199" width="14" customWidth="1"/>
    <col min="8200" max="8200" width="10" customWidth="1"/>
    <col min="8201" max="8201" width="18" customWidth="1"/>
    <col min="8202" max="8202" width="16" customWidth="1"/>
    <col min="8203" max="8203" width="31" customWidth="1"/>
    <col min="8204" max="8204" width="29" customWidth="1"/>
    <col min="8205" max="8205" width="37" customWidth="1"/>
    <col min="8206" max="8206" width="35" customWidth="1"/>
    <col min="8207" max="8207" width="18" customWidth="1"/>
    <col min="8208" max="8208" width="25" customWidth="1"/>
    <col min="8209" max="8209" width="23" customWidth="1"/>
    <col min="8210" max="8210" width="34" customWidth="1"/>
    <col min="8211" max="8211" width="20" customWidth="1"/>
    <col min="8449" max="8449" width="13" customWidth="1"/>
    <col min="8450" max="8450" width="50" customWidth="1"/>
    <col min="8451" max="8451" width="21" customWidth="1"/>
    <col min="8452" max="8452" width="19" customWidth="1"/>
    <col min="8453" max="8453" width="20" customWidth="1"/>
    <col min="8454" max="8454" width="8" customWidth="1"/>
    <col min="8455" max="8455" width="14" customWidth="1"/>
    <col min="8456" max="8456" width="10" customWidth="1"/>
    <col min="8457" max="8457" width="18" customWidth="1"/>
    <col min="8458" max="8458" width="16" customWidth="1"/>
    <col min="8459" max="8459" width="31" customWidth="1"/>
    <col min="8460" max="8460" width="29" customWidth="1"/>
    <col min="8461" max="8461" width="37" customWidth="1"/>
    <col min="8462" max="8462" width="35" customWidth="1"/>
    <col min="8463" max="8463" width="18" customWidth="1"/>
    <col min="8464" max="8464" width="25" customWidth="1"/>
    <col min="8465" max="8465" width="23" customWidth="1"/>
    <col min="8466" max="8466" width="34" customWidth="1"/>
    <col min="8467" max="8467" width="20" customWidth="1"/>
    <col min="8705" max="8705" width="13" customWidth="1"/>
    <col min="8706" max="8706" width="50" customWidth="1"/>
    <col min="8707" max="8707" width="21" customWidth="1"/>
    <col min="8708" max="8708" width="19" customWidth="1"/>
    <col min="8709" max="8709" width="20" customWidth="1"/>
    <col min="8710" max="8710" width="8" customWidth="1"/>
    <col min="8711" max="8711" width="14" customWidth="1"/>
    <col min="8712" max="8712" width="10" customWidth="1"/>
    <col min="8713" max="8713" width="18" customWidth="1"/>
    <col min="8714" max="8714" width="16" customWidth="1"/>
    <col min="8715" max="8715" width="31" customWidth="1"/>
    <col min="8716" max="8716" width="29" customWidth="1"/>
    <col min="8717" max="8717" width="37" customWidth="1"/>
    <col min="8718" max="8718" width="35" customWidth="1"/>
    <col min="8719" max="8719" width="18" customWidth="1"/>
    <col min="8720" max="8720" width="25" customWidth="1"/>
    <col min="8721" max="8721" width="23" customWidth="1"/>
    <col min="8722" max="8722" width="34" customWidth="1"/>
    <col min="8723" max="8723" width="20" customWidth="1"/>
    <col min="8961" max="8961" width="13" customWidth="1"/>
    <col min="8962" max="8962" width="50" customWidth="1"/>
    <col min="8963" max="8963" width="21" customWidth="1"/>
    <col min="8964" max="8964" width="19" customWidth="1"/>
    <col min="8965" max="8965" width="20" customWidth="1"/>
    <col min="8966" max="8966" width="8" customWidth="1"/>
    <col min="8967" max="8967" width="14" customWidth="1"/>
    <col min="8968" max="8968" width="10" customWidth="1"/>
    <col min="8969" max="8969" width="18" customWidth="1"/>
    <col min="8970" max="8970" width="16" customWidth="1"/>
    <col min="8971" max="8971" width="31" customWidth="1"/>
    <col min="8972" max="8972" width="29" customWidth="1"/>
    <col min="8973" max="8973" width="37" customWidth="1"/>
    <col min="8974" max="8974" width="35" customWidth="1"/>
    <col min="8975" max="8975" width="18" customWidth="1"/>
    <col min="8976" max="8976" width="25" customWidth="1"/>
    <col min="8977" max="8977" width="23" customWidth="1"/>
    <col min="8978" max="8978" width="34" customWidth="1"/>
    <col min="8979" max="8979" width="20" customWidth="1"/>
    <col min="9217" max="9217" width="13" customWidth="1"/>
    <col min="9218" max="9218" width="50" customWidth="1"/>
    <col min="9219" max="9219" width="21" customWidth="1"/>
    <col min="9220" max="9220" width="19" customWidth="1"/>
    <col min="9221" max="9221" width="20" customWidth="1"/>
    <col min="9222" max="9222" width="8" customWidth="1"/>
    <col min="9223" max="9223" width="14" customWidth="1"/>
    <col min="9224" max="9224" width="10" customWidth="1"/>
    <col min="9225" max="9225" width="18" customWidth="1"/>
    <col min="9226" max="9226" width="16" customWidth="1"/>
    <col min="9227" max="9227" width="31" customWidth="1"/>
    <col min="9228" max="9228" width="29" customWidth="1"/>
    <col min="9229" max="9229" width="37" customWidth="1"/>
    <col min="9230" max="9230" width="35" customWidth="1"/>
    <col min="9231" max="9231" width="18" customWidth="1"/>
    <col min="9232" max="9232" width="25" customWidth="1"/>
    <col min="9233" max="9233" width="23" customWidth="1"/>
    <col min="9234" max="9234" width="34" customWidth="1"/>
    <col min="9235" max="9235" width="20" customWidth="1"/>
    <col min="9473" max="9473" width="13" customWidth="1"/>
    <col min="9474" max="9474" width="50" customWidth="1"/>
    <col min="9475" max="9475" width="21" customWidth="1"/>
    <col min="9476" max="9476" width="19" customWidth="1"/>
    <col min="9477" max="9477" width="20" customWidth="1"/>
    <col min="9478" max="9478" width="8" customWidth="1"/>
    <col min="9479" max="9479" width="14" customWidth="1"/>
    <col min="9480" max="9480" width="10" customWidth="1"/>
    <col min="9481" max="9481" width="18" customWidth="1"/>
    <col min="9482" max="9482" width="16" customWidth="1"/>
    <col min="9483" max="9483" width="31" customWidth="1"/>
    <col min="9484" max="9484" width="29" customWidth="1"/>
    <col min="9485" max="9485" width="37" customWidth="1"/>
    <col min="9486" max="9486" width="35" customWidth="1"/>
    <col min="9487" max="9487" width="18" customWidth="1"/>
    <col min="9488" max="9488" width="25" customWidth="1"/>
    <col min="9489" max="9489" width="23" customWidth="1"/>
    <col min="9490" max="9490" width="34" customWidth="1"/>
    <col min="9491" max="9491" width="20" customWidth="1"/>
    <col min="9729" max="9729" width="13" customWidth="1"/>
    <col min="9730" max="9730" width="50" customWidth="1"/>
    <col min="9731" max="9731" width="21" customWidth="1"/>
    <col min="9732" max="9732" width="19" customWidth="1"/>
    <col min="9733" max="9733" width="20" customWidth="1"/>
    <col min="9734" max="9734" width="8" customWidth="1"/>
    <col min="9735" max="9735" width="14" customWidth="1"/>
    <col min="9736" max="9736" width="10" customWidth="1"/>
    <col min="9737" max="9737" width="18" customWidth="1"/>
    <col min="9738" max="9738" width="16" customWidth="1"/>
    <col min="9739" max="9739" width="31" customWidth="1"/>
    <col min="9740" max="9740" width="29" customWidth="1"/>
    <col min="9741" max="9741" width="37" customWidth="1"/>
    <col min="9742" max="9742" width="35" customWidth="1"/>
    <col min="9743" max="9743" width="18" customWidth="1"/>
    <col min="9744" max="9744" width="25" customWidth="1"/>
    <col min="9745" max="9745" width="23" customWidth="1"/>
    <col min="9746" max="9746" width="34" customWidth="1"/>
    <col min="9747" max="9747" width="20" customWidth="1"/>
    <col min="9985" max="9985" width="13" customWidth="1"/>
    <col min="9986" max="9986" width="50" customWidth="1"/>
    <col min="9987" max="9987" width="21" customWidth="1"/>
    <col min="9988" max="9988" width="19" customWidth="1"/>
    <col min="9989" max="9989" width="20" customWidth="1"/>
    <col min="9990" max="9990" width="8" customWidth="1"/>
    <col min="9991" max="9991" width="14" customWidth="1"/>
    <col min="9992" max="9992" width="10" customWidth="1"/>
    <col min="9993" max="9993" width="18" customWidth="1"/>
    <col min="9994" max="9994" width="16" customWidth="1"/>
    <col min="9995" max="9995" width="31" customWidth="1"/>
    <col min="9996" max="9996" width="29" customWidth="1"/>
    <col min="9997" max="9997" width="37" customWidth="1"/>
    <col min="9998" max="9998" width="35" customWidth="1"/>
    <col min="9999" max="9999" width="18" customWidth="1"/>
    <col min="10000" max="10000" width="25" customWidth="1"/>
    <col min="10001" max="10001" width="23" customWidth="1"/>
    <col min="10002" max="10002" width="34" customWidth="1"/>
    <col min="10003" max="10003" width="20" customWidth="1"/>
    <col min="10241" max="10241" width="13" customWidth="1"/>
    <col min="10242" max="10242" width="50" customWidth="1"/>
    <col min="10243" max="10243" width="21" customWidth="1"/>
    <col min="10244" max="10244" width="19" customWidth="1"/>
    <col min="10245" max="10245" width="20" customWidth="1"/>
    <col min="10246" max="10246" width="8" customWidth="1"/>
    <col min="10247" max="10247" width="14" customWidth="1"/>
    <col min="10248" max="10248" width="10" customWidth="1"/>
    <col min="10249" max="10249" width="18" customWidth="1"/>
    <col min="10250" max="10250" width="16" customWidth="1"/>
    <col min="10251" max="10251" width="31" customWidth="1"/>
    <col min="10252" max="10252" width="29" customWidth="1"/>
    <col min="10253" max="10253" width="37" customWidth="1"/>
    <col min="10254" max="10254" width="35" customWidth="1"/>
    <col min="10255" max="10255" width="18" customWidth="1"/>
    <col min="10256" max="10256" width="25" customWidth="1"/>
    <col min="10257" max="10257" width="23" customWidth="1"/>
    <col min="10258" max="10258" width="34" customWidth="1"/>
    <col min="10259" max="10259" width="20" customWidth="1"/>
    <col min="10497" max="10497" width="13" customWidth="1"/>
    <col min="10498" max="10498" width="50" customWidth="1"/>
    <col min="10499" max="10499" width="21" customWidth="1"/>
    <col min="10500" max="10500" width="19" customWidth="1"/>
    <col min="10501" max="10501" width="20" customWidth="1"/>
    <col min="10502" max="10502" width="8" customWidth="1"/>
    <col min="10503" max="10503" width="14" customWidth="1"/>
    <col min="10504" max="10504" width="10" customWidth="1"/>
    <col min="10505" max="10505" width="18" customWidth="1"/>
    <col min="10506" max="10506" width="16" customWidth="1"/>
    <col min="10507" max="10507" width="31" customWidth="1"/>
    <col min="10508" max="10508" width="29" customWidth="1"/>
    <col min="10509" max="10509" width="37" customWidth="1"/>
    <col min="10510" max="10510" width="35" customWidth="1"/>
    <col min="10511" max="10511" width="18" customWidth="1"/>
    <col min="10512" max="10512" width="25" customWidth="1"/>
    <col min="10513" max="10513" width="23" customWidth="1"/>
    <col min="10514" max="10514" width="34" customWidth="1"/>
    <col min="10515" max="10515" width="20" customWidth="1"/>
    <col min="10753" max="10753" width="13" customWidth="1"/>
    <col min="10754" max="10754" width="50" customWidth="1"/>
    <col min="10755" max="10755" width="21" customWidth="1"/>
    <col min="10756" max="10756" width="19" customWidth="1"/>
    <col min="10757" max="10757" width="20" customWidth="1"/>
    <col min="10758" max="10758" width="8" customWidth="1"/>
    <col min="10759" max="10759" width="14" customWidth="1"/>
    <col min="10760" max="10760" width="10" customWidth="1"/>
    <col min="10761" max="10761" width="18" customWidth="1"/>
    <col min="10762" max="10762" width="16" customWidth="1"/>
    <col min="10763" max="10763" width="31" customWidth="1"/>
    <col min="10764" max="10764" width="29" customWidth="1"/>
    <col min="10765" max="10765" width="37" customWidth="1"/>
    <col min="10766" max="10766" width="35" customWidth="1"/>
    <col min="10767" max="10767" width="18" customWidth="1"/>
    <col min="10768" max="10768" width="25" customWidth="1"/>
    <col min="10769" max="10769" width="23" customWidth="1"/>
    <col min="10770" max="10770" width="34" customWidth="1"/>
    <col min="10771" max="10771" width="20" customWidth="1"/>
    <col min="11009" max="11009" width="13" customWidth="1"/>
    <col min="11010" max="11010" width="50" customWidth="1"/>
    <col min="11011" max="11011" width="21" customWidth="1"/>
    <col min="11012" max="11012" width="19" customWidth="1"/>
    <col min="11013" max="11013" width="20" customWidth="1"/>
    <col min="11014" max="11014" width="8" customWidth="1"/>
    <col min="11015" max="11015" width="14" customWidth="1"/>
    <col min="11016" max="11016" width="10" customWidth="1"/>
    <col min="11017" max="11017" width="18" customWidth="1"/>
    <col min="11018" max="11018" width="16" customWidth="1"/>
    <col min="11019" max="11019" width="31" customWidth="1"/>
    <col min="11020" max="11020" width="29" customWidth="1"/>
    <col min="11021" max="11021" width="37" customWidth="1"/>
    <col min="11022" max="11022" width="35" customWidth="1"/>
    <col min="11023" max="11023" width="18" customWidth="1"/>
    <col min="11024" max="11024" width="25" customWidth="1"/>
    <col min="11025" max="11025" width="23" customWidth="1"/>
    <col min="11026" max="11026" width="34" customWidth="1"/>
    <col min="11027" max="11027" width="20" customWidth="1"/>
    <col min="11265" max="11265" width="13" customWidth="1"/>
    <col min="11266" max="11266" width="50" customWidth="1"/>
    <col min="11267" max="11267" width="21" customWidth="1"/>
    <col min="11268" max="11268" width="19" customWidth="1"/>
    <col min="11269" max="11269" width="20" customWidth="1"/>
    <col min="11270" max="11270" width="8" customWidth="1"/>
    <col min="11271" max="11271" width="14" customWidth="1"/>
    <col min="11272" max="11272" width="10" customWidth="1"/>
    <col min="11273" max="11273" width="18" customWidth="1"/>
    <col min="11274" max="11274" width="16" customWidth="1"/>
    <col min="11275" max="11275" width="31" customWidth="1"/>
    <col min="11276" max="11276" width="29" customWidth="1"/>
    <col min="11277" max="11277" width="37" customWidth="1"/>
    <col min="11278" max="11278" width="35" customWidth="1"/>
    <col min="11279" max="11279" width="18" customWidth="1"/>
    <col min="11280" max="11280" width="25" customWidth="1"/>
    <col min="11281" max="11281" width="23" customWidth="1"/>
    <col min="11282" max="11282" width="34" customWidth="1"/>
    <col min="11283" max="11283" width="20" customWidth="1"/>
    <col min="11521" max="11521" width="13" customWidth="1"/>
    <col min="11522" max="11522" width="50" customWidth="1"/>
    <col min="11523" max="11523" width="21" customWidth="1"/>
    <col min="11524" max="11524" width="19" customWidth="1"/>
    <col min="11525" max="11525" width="20" customWidth="1"/>
    <col min="11526" max="11526" width="8" customWidth="1"/>
    <col min="11527" max="11527" width="14" customWidth="1"/>
    <col min="11528" max="11528" width="10" customWidth="1"/>
    <col min="11529" max="11529" width="18" customWidth="1"/>
    <col min="11530" max="11530" width="16" customWidth="1"/>
    <col min="11531" max="11531" width="31" customWidth="1"/>
    <col min="11532" max="11532" width="29" customWidth="1"/>
    <col min="11533" max="11533" width="37" customWidth="1"/>
    <col min="11534" max="11534" width="35" customWidth="1"/>
    <col min="11535" max="11535" width="18" customWidth="1"/>
    <col min="11536" max="11536" width="25" customWidth="1"/>
    <col min="11537" max="11537" width="23" customWidth="1"/>
    <col min="11538" max="11538" width="34" customWidth="1"/>
    <col min="11539" max="11539" width="20" customWidth="1"/>
    <col min="11777" max="11777" width="13" customWidth="1"/>
    <col min="11778" max="11778" width="50" customWidth="1"/>
    <col min="11779" max="11779" width="21" customWidth="1"/>
    <col min="11780" max="11780" width="19" customWidth="1"/>
    <col min="11781" max="11781" width="20" customWidth="1"/>
    <col min="11782" max="11782" width="8" customWidth="1"/>
    <col min="11783" max="11783" width="14" customWidth="1"/>
    <col min="11784" max="11784" width="10" customWidth="1"/>
    <col min="11785" max="11785" width="18" customWidth="1"/>
    <col min="11786" max="11786" width="16" customWidth="1"/>
    <col min="11787" max="11787" width="31" customWidth="1"/>
    <col min="11788" max="11788" width="29" customWidth="1"/>
    <col min="11789" max="11789" width="37" customWidth="1"/>
    <col min="11790" max="11790" width="35" customWidth="1"/>
    <col min="11791" max="11791" width="18" customWidth="1"/>
    <col min="11792" max="11792" width="25" customWidth="1"/>
    <col min="11793" max="11793" width="23" customWidth="1"/>
    <col min="11794" max="11794" width="34" customWidth="1"/>
    <col min="11795" max="11795" width="20" customWidth="1"/>
    <col min="12033" max="12033" width="13" customWidth="1"/>
    <col min="12034" max="12034" width="50" customWidth="1"/>
    <col min="12035" max="12035" width="21" customWidth="1"/>
    <col min="12036" max="12036" width="19" customWidth="1"/>
    <col min="12037" max="12037" width="20" customWidth="1"/>
    <col min="12038" max="12038" width="8" customWidth="1"/>
    <col min="12039" max="12039" width="14" customWidth="1"/>
    <col min="12040" max="12040" width="10" customWidth="1"/>
    <col min="12041" max="12041" width="18" customWidth="1"/>
    <col min="12042" max="12042" width="16" customWidth="1"/>
    <col min="12043" max="12043" width="31" customWidth="1"/>
    <col min="12044" max="12044" width="29" customWidth="1"/>
    <col min="12045" max="12045" width="37" customWidth="1"/>
    <col min="12046" max="12046" width="35" customWidth="1"/>
    <col min="12047" max="12047" width="18" customWidth="1"/>
    <col min="12048" max="12048" width="25" customWidth="1"/>
    <col min="12049" max="12049" width="23" customWidth="1"/>
    <col min="12050" max="12050" width="34" customWidth="1"/>
    <col min="12051" max="12051" width="20" customWidth="1"/>
    <col min="12289" max="12289" width="13" customWidth="1"/>
    <col min="12290" max="12290" width="50" customWidth="1"/>
    <col min="12291" max="12291" width="21" customWidth="1"/>
    <col min="12292" max="12292" width="19" customWidth="1"/>
    <col min="12293" max="12293" width="20" customWidth="1"/>
    <col min="12294" max="12294" width="8" customWidth="1"/>
    <col min="12295" max="12295" width="14" customWidth="1"/>
    <col min="12296" max="12296" width="10" customWidth="1"/>
    <col min="12297" max="12297" width="18" customWidth="1"/>
    <col min="12298" max="12298" width="16" customWidth="1"/>
    <col min="12299" max="12299" width="31" customWidth="1"/>
    <col min="12300" max="12300" width="29" customWidth="1"/>
    <col min="12301" max="12301" width="37" customWidth="1"/>
    <col min="12302" max="12302" width="35" customWidth="1"/>
    <col min="12303" max="12303" width="18" customWidth="1"/>
    <col min="12304" max="12304" width="25" customWidth="1"/>
    <col min="12305" max="12305" width="23" customWidth="1"/>
    <col min="12306" max="12306" width="34" customWidth="1"/>
    <col min="12307" max="12307" width="20" customWidth="1"/>
    <col min="12545" max="12545" width="13" customWidth="1"/>
    <col min="12546" max="12546" width="50" customWidth="1"/>
    <col min="12547" max="12547" width="21" customWidth="1"/>
    <col min="12548" max="12548" width="19" customWidth="1"/>
    <col min="12549" max="12549" width="20" customWidth="1"/>
    <col min="12550" max="12550" width="8" customWidth="1"/>
    <col min="12551" max="12551" width="14" customWidth="1"/>
    <col min="12552" max="12552" width="10" customWidth="1"/>
    <col min="12553" max="12553" width="18" customWidth="1"/>
    <col min="12554" max="12554" width="16" customWidth="1"/>
    <col min="12555" max="12555" width="31" customWidth="1"/>
    <col min="12556" max="12556" width="29" customWidth="1"/>
    <col min="12557" max="12557" width="37" customWidth="1"/>
    <col min="12558" max="12558" width="35" customWidth="1"/>
    <col min="12559" max="12559" width="18" customWidth="1"/>
    <col min="12560" max="12560" width="25" customWidth="1"/>
    <col min="12561" max="12561" width="23" customWidth="1"/>
    <col min="12562" max="12562" width="34" customWidth="1"/>
    <col min="12563" max="12563" width="20" customWidth="1"/>
    <col min="12801" max="12801" width="13" customWidth="1"/>
    <col min="12802" max="12802" width="50" customWidth="1"/>
    <col min="12803" max="12803" width="21" customWidth="1"/>
    <col min="12804" max="12804" width="19" customWidth="1"/>
    <col min="12805" max="12805" width="20" customWidth="1"/>
    <col min="12806" max="12806" width="8" customWidth="1"/>
    <col min="12807" max="12807" width="14" customWidth="1"/>
    <col min="12808" max="12808" width="10" customWidth="1"/>
    <col min="12809" max="12809" width="18" customWidth="1"/>
    <col min="12810" max="12810" width="16" customWidth="1"/>
    <col min="12811" max="12811" width="31" customWidth="1"/>
    <col min="12812" max="12812" width="29" customWidth="1"/>
    <col min="12813" max="12813" width="37" customWidth="1"/>
    <col min="12814" max="12814" width="35" customWidth="1"/>
    <col min="12815" max="12815" width="18" customWidth="1"/>
    <col min="12816" max="12816" width="25" customWidth="1"/>
    <col min="12817" max="12817" width="23" customWidth="1"/>
    <col min="12818" max="12818" width="34" customWidth="1"/>
    <col min="12819" max="12819" width="20" customWidth="1"/>
    <col min="13057" max="13057" width="13" customWidth="1"/>
    <col min="13058" max="13058" width="50" customWidth="1"/>
    <col min="13059" max="13059" width="21" customWidth="1"/>
    <col min="13060" max="13060" width="19" customWidth="1"/>
    <col min="13061" max="13061" width="20" customWidth="1"/>
    <col min="13062" max="13062" width="8" customWidth="1"/>
    <col min="13063" max="13063" width="14" customWidth="1"/>
    <col min="13064" max="13064" width="10" customWidth="1"/>
    <col min="13065" max="13065" width="18" customWidth="1"/>
    <col min="13066" max="13066" width="16" customWidth="1"/>
    <col min="13067" max="13067" width="31" customWidth="1"/>
    <col min="13068" max="13068" width="29" customWidth="1"/>
    <col min="13069" max="13069" width="37" customWidth="1"/>
    <col min="13070" max="13070" width="35" customWidth="1"/>
    <col min="13071" max="13071" width="18" customWidth="1"/>
    <col min="13072" max="13072" width="25" customWidth="1"/>
    <col min="13073" max="13073" width="23" customWidth="1"/>
    <col min="13074" max="13074" width="34" customWidth="1"/>
    <col min="13075" max="13075" width="20" customWidth="1"/>
    <col min="13313" max="13313" width="13" customWidth="1"/>
    <col min="13314" max="13314" width="50" customWidth="1"/>
    <col min="13315" max="13315" width="21" customWidth="1"/>
    <col min="13316" max="13316" width="19" customWidth="1"/>
    <col min="13317" max="13317" width="20" customWidth="1"/>
    <col min="13318" max="13318" width="8" customWidth="1"/>
    <col min="13319" max="13319" width="14" customWidth="1"/>
    <col min="13320" max="13320" width="10" customWidth="1"/>
    <col min="13321" max="13321" width="18" customWidth="1"/>
    <col min="13322" max="13322" width="16" customWidth="1"/>
    <col min="13323" max="13323" width="31" customWidth="1"/>
    <col min="13324" max="13324" width="29" customWidth="1"/>
    <col min="13325" max="13325" width="37" customWidth="1"/>
    <col min="13326" max="13326" width="35" customWidth="1"/>
    <col min="13327" max="13327" width="18" customWidth="1"/>
    <col min="13328" max="13328" width="25" customWidth="1"/>
    <col min="13329" max="13329" width="23" customWidth="1"/>
    <col min="13330" max="13330" width="34" customWidth="1"/>
    <col min="13331" max="13331" width="20" customWidth="1"/>
    <col min="13569" max="13569" width="13" customWidth="1"/>
    <col min="13570" max="13570" width="50" customWidth="1"/>
    <col min="13571" max="13571" width="21" customWidth="1"/>
    <col min="13572" max="13572" width="19" customWidth="1"/>
    <col min="13573" max="13573" width="20" customWidth="1"/>
    <col min="13574" max="13574" width="8" customWidth="1"/>
    <col min="13575" max="13575" width="14" customWidth="1"/>
    <col min="13576" max="13576" width="10" customWidth="1"/>
    <col min="13577" max="13577" width="18" customWidth="1"/>
    <col min="13578" max="13578" width="16" customWidth="1"/>
    <col min="13579" max="13579" width="31" customWidth="1"/>
    <col min="13580" max="13580" width="29" customWidth="1"/>
    <col min="13581" max="13581" width="37" customWidth="1"/>
    <col min="13582" max="13582" width="35" customWidth="1"/>
    <col min="13583" max="13583" width="18" customWidth="1"/>
    <col min="13584" max="13584" width="25" customWidth="1"/>
    <col min="13585" max="13585" width="23" customWidth="1"/>
    <col min="13586" max="13586" width="34" customWidth="1"/>
    <col min="13587" max="13587" width="20" customWidth="1"/>
    <col min="13825" max="13825" width="13" customWidth="1"/>
    <col min="13826" max="13826" width="50" customWidth="1"/>
    <col min="13827" max="13827" width="21" customWidth="1"/>
    <col min="13828" max="13828" width="19" customWidth="1"/>
    <col min="13829" max="13829" width="20" customWidth="1"/>
    <col min="13830" max="13830" width="8" customWidth="1"/>
    <col min="13831" max="13831" width="14" customWidth="1"/>
    <col min="13832" max="13832" width="10" customWidth="1"/>
    <col min="13833" max="13833" width="18" customWidth="1"/>
    <col min="13834" max="13834" width="16" customWidth="1"/>
    <col min="13835" max="13835" width="31" customWidth="1"/>
    <col min="13836" max="13836" width="29" customWidth="1"/>
    <col min="13837" max="13837" width="37" customWidth="1"/>
    <col min="13838" max="13838" width="35" customWidth="1"/>
    <col min="13839" max="13839" width="18" customWidth="1"/>
    <col min="13840" max="13840" width="25" customWidth="1"/>
    <col min="13841" max="13841" width="23" customWidth="1"/>
    <col min="13842" max="13842" width="34" customWidth="1"/>
    <col min="13843" max="13843" width="20" customWidth="1"/>
    <col min="14081" max="14081" width="13" customWidth="1"/>
    <col min="14082" max="14082" width="50" customWidth="1"/>
    <col min="14083" max="14083" width="21" customWidth="1"/>
    <col min="14084" max="14084" width="19" customWidth="1"/>
    <col min="14085" max="14085" width="20" customWidth="1"/>
    <col min="14086" max="14086" width="8" customWidth="1"/>
    <col min="14087" max="14087" width="14" customWidth="1"/>
    <col min="14088" max="14088" width="10" customWidth="1"/>
    <col min="14089" max="14089" width="18" customWidth="1"/>
    <col min="14090" max="14090" width="16" customWidth="1"/>
    <col min="14091" max="14091" width="31" customWidth="1"/>
    <col min="14092" max="14092" width="29" customWidth="1"/>
    <col min="14093" max="14093" width="37" customWidth="1"/>
    <col min="14094" max="14094" width="35" customWidth="1"/>
    <col min="14095" max="14095" width="18" customWidth="1"/>
    <col min="14096" max="14096" width="25" customWidth="1"/>
    <col min="14097" max="14097" width="23" customWidth="1"/>
    <col min="14098" max="14098" width="34" customWidth="1"/>
    <col min="14099" max="14099" width="20" customWidth="1"/>
    <col min="14337" max="14337" width="13" customWidth="1"/>
    <col min="14338" max="14338" width="50" customWidth="1"/>
    <col min="14339" max="14339" width="21" customWidth="1"/>
    <col min="14340" max="14340" width="19" customWidth="1"/>
    <col min="14341" max="14341" width="20" customWidth="1"/>
    <col min="14342" max="14342" width="8" customWidth="1"/>
    <col min="14343" max="14343" width="14" customWidth="1"/>
    <col min="14344" max="14344" width="10" customWidth="1"/>
    <col min="14345" max="14345" width="18" customWidth="1"/>
    <col min="14346" max="14346" width="16" customWidth="1"/>
    <col min="14347" max="14347" width="31" customWidth="1"/>
    <col min="14348" max="14348" width="29" customWidth="1"/>
    <col min="14349" max="14349" width="37" customWidth="1"/>
    <col min="14350" max="14350" width="35" customWidth="1"/>
    <col min="14351" max="14351" width="18" customWidth="1"/>
    <col min="14352" max="14352" width="25" customWidth="1"/>
    <col min="14353" max="14353" width="23" customWidth="1"/>
    <col min="14354" max="14354" width="34" customWidth="1"/>
    <col min="14355" max="14355" width="20" customWidth="1"/>
    <col min="14593" max="14593" width="13" customWidth="1"/>
    <col min="14594" max="14594" width="50" customWidth="1"/>
    <col min="14595" max="14595" width="21" customWidth="1"/>
    <col min="14596" max="14596" width="19" customWidth="1"/>
    <col min="14597" max="14597" width="20" customWidth="1"/>
    <col min="14598" max="14598" width="8" customWidth="1"/>
    <col min="14599" max="14599" width="14" customWidth="1"/>
    <col min="14600" max="14600" width="10" customWidth="1"/>
    <col min="14601" max="14601" width="18" customWidth="1"/>
    <col min="14602" max="14602" width="16" customWidth="1"/>
    <col min="14603" max="14603" width="31" customWidth="1"/>
    <col min="14604" max="14604" width="29" customWidth="1"/>
    <col min="14605" max="14605" width="37" customWidth="1"/>
    <col min="14606" max="14606" width="35" customWidth="1"/>
    <col min="14607" max="14607" width="18" customWidth="1"/>
    <col min="14608" max="14608" width="25" customWidth="1"/>
    <col min="14609" max="14609" width="23" customWidth="1"/>
    <col min="14610" max="14610" width="34" customWidth="1"/>
    <col min="14611" max="14611" width="20" customWidth="1"/>
    <col min="14849" max="14849" width="13" customWidth="1"/>
    <col min="14850" max="14850" width="50" customWidth="1"/>
    <col min="14851" max="14851" width="21" customWidth="1"/>
    <col min="14852" max="14852" width="19" customWidth="1"/>
    <col min="14853" max="14853" width="20" customWidth="1"/>
    <col min="14854" max="14854" width="8" customWidth="1"/>
    <col min="14855" max="14855" width="14" customWidth="1"/>
    <col min="14856" max="14856" width="10" customWidth="1"/>
    <col min="14857" max="14857" width="18" customWidth="1"/>
    <col min="14858" max="14858" width="16" customWidth="1"/>
    <col min="14859" max="14859" width="31" customWidth="1"/>
    <col min="14860" max="14860" width="29" customWidth="1"/>
    <col min="14861" max="14861" width="37" customWidth="1"/>
    <col min="14862" max="14862" width="35" customWidth="1"/>
    <col min="14863" max="14863" width="18" customWidth="1"/>
    <col min="14864" max="14864" width="25" customWidth="1"/>
    <col min="14865" max="14865" width="23" customWidth="1"/>
    <col min="14866" max="14866" width="34" customWidth="1"/>
    <col min="14867" max="14867" width="20" customWidth="1"/>
    <col min="15105" max="15105" width="13" customWidth="1"/>
    <col min="15106" max="15106" width="50" customWidth="1"/>
    <col min="15107" max="15107" width="21" customWidth="1"/>
    <col min="15108" max="15108" width="19" customWidth="1"/>
    <col min="15109" max="15109" width="20" customWidth="1"/>
    <col min="15110" max="15110" width="8" customWidth="1"/>
    <col min="15111" max="15111" width="14" customWidth="1"/>
    <col min="15112" max="15112" width="10" customWidth="1"/>
    <col min="15113" max="15113" width="18" customWidth="1"/>
    <col min="15114" max="15114" width="16" customWidth="1"/>
    <col min="15115" max="15115" width="31" customWidth="1"/>
    <col min="15116" max="15116" width="29" customWidth="1"/>
    <col min="15117" max="15117" width="37" customWidth="1"/>
    <col min="15118" max="15118" width="35" customWidth="1"/>
    <col min="15119" max="15119" width="18" customWidth="1"/>
    <col min="15120" max="15120" width="25" customWidth="1"/>
    <col min="15121" max="15121" width="23" customWidth="1"/>
    <col min="15122" max="15122" width="34" customWidth="1"/>
    <col min="15123" max="15123" width="20" customWidth="1"/>
    <col min="15361" max="15361" width="13" customWidth="1"/>
    <col min="15362" max="15362" width="50" customWidth="1"/>
    <col min="15363" max="15363" width="21" customWidth="1"/>
    <col min="15364" max="15364" width="19" customWidth="1"/>
    <col min="15365" max="15365" width="20" customWidth="1"/>
    <col min="15366" max="15366" width="8" customWidth="1"/>
    <col min="15367" max="15367" width="14" customWidth="1"/>
    <col min="15368" max="15368" width="10" customWidth="1"/>
    <col min="15369" max="15369" width="18" customWidth="1"/>
    <col min="15370" max="15370" width="16" customWidth="1"/>
    <col min="15371" max="15371" width="31" customWidth="1"/>
    <col min="15372" max="15372" width="29" customWidth="1"/>
    <col min="15373" max="15373" width="37" customWidth="1"/>
    <col min="15374" max="15374" width="35" customWidth="1"/>
    <col min="15375" max="15375" width="18" customWidth="1"/>
    <col min="15376" max="15376" width="25" customWidth="1"/>
    <col min="15377" max="15377" width="23" customWidth="1"/>
    <col min="15378" max="15378" width="34" customWidth="1"/>
    <col min="15379" max="15379" width="20" customWidth="1"/>
    <col min="15617" max="15617" width="13" customWidth="1"/>
    <col min="15618" max="15618" width="50" customWidth="1"/>
    <col min="15619" max="15619" width="21" customWidth="1"/>
    <col min="15620" max="15620" width="19" customWidth="1"/>
    <col min="15621" max="15621" width="20" customWidth="1"/>
    <col min="15622" max="15622" width="8" customWidth="1"/>
    <col min="15623" max="15623" width="14" customWidth="1"/>
    <col min="15624" max="15624" width="10" customWidth="1"/>
    <col min="15625" max="15625" width="18" customWidth="1"/>
    <col min="15626" max="15626" width="16" customWidth="1"/>
    <col min="15627" max="15627" width="31" customWidth="1"/>
    <col min="15628" max="15628" width="29" customWidth="1"/>
    <col min="15629" max="15629" width="37" customWidth="1"/>
    <col min="15630" max="15630" width="35" customWidth="1"/>
    <col min="15631" max="15631" width="18" customWidth="1"/>
    <col min="15632" max="15632" width="25" customWidth="1"/>
    <col min="15633" max="15633" width="23" customWidth="1"/>
    <col min="15634" max="15634" width="34" customWidth="1"/>
    <col min="15635" max="15635" width="20" customWidth="1"/>
    <col min="15873" max="15873" width="13" customWidth="1"/>
    <col min="15874" max="15874" width="50" customWidth="1"/>
    <col min="15875" max="15875" width="21" customWidth="1"/>
    <col min="15876" max="15876" width="19" customWidth="1"/>
    <col min="15877" max="15877" width="20" customWidth="1"/>
    <col min="15878" max="15878" width="8" customWidth="1"/>
    <col min="15879" max="15879" width="14" customWidth="1"/>
    <col min="15880" max="15880" width="10" customWidth="1"/>
    <col min="15881" max="15881" width="18" customWidth="1"/>
    <col min="15882" max="15882" width="16" customWidth="1"/>
    <col min="15883" max="15883" width="31" customWidth="1"/>
    <col min="15884" max="15884" width="29" customWidth="1"/>
    <col min="15885" max="15885" width="37" customWidth="1"/>
    <col min="15886" max="15886" width="35" customWidth="1"/>
    <col min="15887" max="15887" width="18" customWidth="1"/>
    <col min="15888" max="15888" width="25" customWidth="1"/>
    <col min="15889" max="15889" width="23" customWidth="1"/>
    <col min="15890" max="15890" width="34" customWidth="1"/>
    <col min="15891" max="15891" width="20" customWidth="1"/>
    <col min="16129" max="16129" width="13" customWidth="1"/>
    <col min="16130" max="16130" width="50" customWidth="1"/>
    <col min="16131" max="16131" width="21" customWidth="1"/>
    <col min="16132" max="16132" width="19" customWidth="1"/>
    <col min="16133" max="16133" width="20" customWidth="1"/>
    <col min="16134" max="16134" width="8" customWidth="1"/>
    <col min="16135" max="16135" width="14" customWidth="1"/>
    <col min="16136" max="16136" width="10" customWidth="1"/>
    <col min="16137" max="16137" width="18" customWidth="1"/>
    <col min="16138" max="16138" width="16" customWidth="1"/>
    <col min="16139" max="16139" width="31" customWidth="1"/>
    <col min="16140" max="16140" width="29" customWidth="1"/>
    <col min="16141" max="16141" width="37" customWidth="1"/>
    <col min="16142" max="16142" width="35" customWidth="1"/>
    <col min="16143" max="16143" width="18" customWidth="1"/>
    <col min="16144" max="16144" width="25" customWidth="1"/>
    <col min="16145" max="16145" width="23" customWidth="1"/>
    <col min="16146" max="16146" width="34" customWidth="1"/>
    <col min="16147" max="16147" width="20" customWidth="1"/>
  </cols>
  <sheetData>
    <row r="3" spans="1:19" customFormat="1" x14ac:dyDescent="0.25">
      <c r="A3" s="144" t="s">
        <v>0</v>
      </c>
    </row>
    <row r="4" spans="1:19" customFormat="1" x14ac:dyDescent="0.25"/>
    <row r="5" spans="1:19" customFormat="1" x14ac:dyDescent="0.25">
      <c r="A5" s="145" t="s">
        <v>1</v>
      </c>
      <c r="B5" s="145" t="s">
        <v>2</v>
      </c>
      <c r="C5" s="145" t="s">
        <v>3</v>
      </c>
      <c r="D5" s="145" t="s">
        <v>4</v>
      </c>
      <c r="E5" s="145" t="s">
        <v>5</v>
      </c>
      <c r="F5" s="145" t="s">
        <v>6</v>
      </c>
      <c r="G5" s="145" t="s">
        <v>7</v>
      </c>
      <c r="H5" s="145" t="s">
        <v>8</v>
      </c>
      <c r="I5" s="145" t="s">
        <v>9</v>
      </c>
      <c r="J5" s="145" t="s">
        <v>10</v>
      </c>
      <c r="K5" s="145" t="s">
        <v>11</v>
      </c>
      <c r="L5" s="145" t="s">
        <v>12</v>
      </c>
      <c r="M5" s="145" t="s">
        <v>13</v>
      </c>
      <c r="N5" s="145" t="s">
        <v>14</v>
      </c>
      <c r="O5" s="145" t="s">
        <v>15</v>
      </c>
      <c r="P5" s="145" t="s">
        <v>16</v>
      </c>
      <c r="Q5" s="145" t="s">
        <v>17</v>
      </c>
      <c r="R5" s="145" t="s">
        <v>18</v>
      </c>
      <c r="S5" s="145" t="s">
        <v>19</v>
      </c>
    </row>
    <row r="6" spans="1:19" customFormat="1" x14ac:dyDescent="0.25">
      <c r="A6" s="146" t="s">
        <v>20</v>
      </c>
      <c r="B6" s="146" t="s">
        <v>289</v>
      </c>
      <c r="C6" s="146">
        <v>4</v>
      </c>
      <c r="D6" s="146">
        <v>9</v>
      </c>
      <c r="E6" s="146" t="s">
        <v>21</v>
      </c>
      <c r="F6" s="146">
        <v>28</v>
      </c>
      <c r="G6" s="147">
        <v>935.04</v>
      </c>
      <c r="H6" s="147">
        <v>670.07</v>
      </c>
      <c r="I6" s="147">
        <v>179.6</v>
      </c>
      <c r="J6" s="147">
        <v>65.31</v>
      </c>
      <c r="K6" s="147">
        <v>183.27</v>
      </c>
      <c r="L6" s="147">
        <v>65.45</v>
      </c>
      <c r="M6" s="147">
        <v>274.89999999999998</v>
      </c>
      <c r="N6" s="147">
        <v>98.18</v>
      </c>
      <c r="O6" s="147">
        <v>142.66</v>
      </c>
      <c r="P6" s="147">
        <v>458.17</v>
      </c>
      <c r="Q6" s="147">
        <v>163.63</v>
      </c>
      <c r="R6" s="147">
        <v>261.81</v>
      </c>
      <c r="S6" s="147">
        <v>2563.0500000000002</v>
      </c>
    </row>
    <row r="7" spans="1:19" customFormat="1" x14ac:dyDescent="0.25">
      <c r="A7" s="146" t="s">
        <v>290</v>
      </c>
      <c r="B7" s="146" t="s">
        <v>291</v>
      </c>
      <c r="C7" s="146">
        <v>4</v>
      </c>
      <c r="D7" s="146">
        <v>9</v>
      </c>
      <c r="E7" s="146" t="s">
        <v>21</v>
      </c>
      <c r="F7" s="146">
        <v>28</v>
      </c>
      <c r="G7" s="147">
        <v>399.93</v>
      </c>
      <c r="H7" s="147">
        <v>670.07</v>
      </c>
      <c r="I7" s="147">
        <v>14.78</v>
      </c>
      <c r="J7" s="147">
        <v>5.38</v>
      </c>
      <c r="K7" s="147">
        <v>78.39</v>
      </c>
      <c r="L7" s="147">
        <v>28</v>
      </c>
      <c r="M7" s="147">
        <v>117.58</v>
      </c>
      <c r="N7" s="147">
        <v>41.99</v>
      </c>
      <c r="O7" s="147">
        <v>61.02</v>
      </c>
      <c r="P7" s="147">
        <v>195.97</v>
      </c>
      <c r="Q7" s="147">
        <v>69.989999999999995</v>
      </c>
      <c r="R7" s="147">
        <v>111.98</v>
      </c>
      <c r="S7" s="147">
        <v>1395.15</v>
      </c>
    </row>
    <row r="8" spans="1:19" customFormat="1" x14ac:dyDescent="0.25">
      <c r="A8" s="146" t="s">
        <v>22</v>
      </c>
      <c r="B8" s="146" t="s">
        <v>292</v>
      </c>
      <c r="C8" s="146">
        <v>4</v>
      </c>
      <c r="D8" s="146">
        <v>9</v>
      </c>
      <c r="E8" s="146" t="s">
        <v>21</v>
      </c>
      <c r="F8" s="146">
        <v>28</v>
      </c>
      <c r="G8" s="147">
        <v>1005.61</v>
      </c>
      <c r="H8" s="147">
        <v>670.07</v>
      </c>
      <c r="I8" s="147">
        <v>201.33</v>
      </c>
      <c r="J8" s="147">
        <v>73.209999999999994</v>
      </c>
      <c r="K8" s="147">
        <v>197.1</v>
      </c>
      <c r="L8" s="147">
        <v>70.39</v>
      </c>
      <c r="M8" s="147">
        <v>295.64999999999998</v>
      </c>
      <c r="N8" s="147">
        <v>105.59</v>
      </c>
      <c r="O8" s="147">
        <v>153.43</v>
      </c>
      <c r="P8" s="147">
        <v>492.75</v>
      </c>
      <c r="Q8" s="147">
        <v>175.98</v>
      </c>
      <c r="R8" s="147">
        <v>281.57</v>
      </c>
      <c r="S8" s="147">
        <v>2717.07</v>
      </c>
    </row>
    <row r="9" spans="1:19" customFormat="1" x14ac:dyDescent="0.25">
      <c r="A9" s="146" t="s">
        <v>23</v>
      </c>
      <c r="B9" s="146" t="s">
        <v>293</v>
      </c>
      <c r="C9" s="146">
        <v>4</v>
      </c>
      <c r="D9" s="146">
        <v>9</v>
      </c>
      <c r="E9" s="146" t="s">
        <v>21</v>
      </c>
      <c r="F9" s="146">
        <v>28</v>
      </c>
      <c r="G9" s="147">
        <v>525.63</v>
      </c>
      <c r="H9" s="147">
        <v>670.07</v>
      </c>
      <c r="I9" s="147">
        <v>53.5</v>
      </c>
      <c r="J9" s="147">
        <v>19.45</v>
      </c>
      <c r="K9" s="147">
        <v>103.02</v>
      </c>
      <c r="L9" s="147">
        <v>36.79</v>
      </c>
      <c r="M9" s="147">
        <v>154.54</v>
      </c>
      <c r="N9" s="147">
        <v>55.19</v>
      </c>
      <c r="O9" s="147">
        <v>80.2</v>
      </c>
      <c r="P9" s="147">
        <v>257.56</v>
      </c>
      <c r="Q9" s="147">
        <v>91.99</v>
      </c>
      <c r="R9" s="147">
        <v>147.18</v>
      </c>
      <c r="S9" s="147">
        <v>1669.49</v>
      </c>
    </row>
    <row r="10" spans="1:19" customFormat="1" x14ac:dyDescent="0.25">
      <c r="A10" s="146" t="s">
        <v>294</v>
      </c>
      <c r="B10" s="146" t="s">
        <v>295</v>
      </c>
      <c r="C10" s="146">
        <v>4</v>
      </c>
      <c r="D10" s="146">
        <v>9</v>
      </c>
      <c r="E10" s="146" t="s">
        <v>21</v>
      </c>
      <c r="F10" s="146">
        <v>28</v>
      </c>
      <c r="G10" s="147">
        <v>357.16</v>
      </c>
      <c r="H10" s="147">
        <v>670.07</v>
      </c>
      <c r="I10" s="147">
        <v>1.61</v>
      </c>
      <c r="J10" s="147">
        <v>0.59</v>
      </c>
      <c r="K10" s="147">
        <v>70</v>
      </c>
      <c r="L10" s="147">
        <v>25</v>
      </c>
      <c r="M10" s="147">
        <v>105.01</v>
      </c>
      <c r="N10" s="147">
        <v>37.5</v>
      </c>
      <c r="O10" s="147">
        <v>54.49</v>
      </c>
      <c r="P10" s="147">
        <v>175.01</v>
      </c>
      <c r="Q10" s="147">
        <v>62.5</v>
      </c>
      <c r="R10" s="147">
        <v>100</v>
      </c>
      <c r="S10" s="147">
        <v>1301.78</v>
      </c>
    </row>
    <row r="11" spans="1:19" customFormat="1" x14ac:dyDescent="0.25">
      <c r="A11" s="146" t="s">
        <v>296</v>
      </c>
      <c r="B11" s="146" t="s">
        <v>297</v>
      </c>
      <c r="C11" s="146">
        <v>4</v>
      </c>
      <c r="D11" s="146">
        <v>9</v>
      </c>
      <c r="E11" s="146" t="s">
        <v>21</v>
      </c>
      <c r="F11" s="146">
        <v>28</v>
      </c>
      <c r="G11" s="147">
        <v>736.15</v>
      </c>
      <c r="H11" s="147">
        <v>670.07</v>
      </c>
      <c r="I11" s="147">
        <v>118.34</v>
      </c>
      <c r="J11" s="147">
        <v>43.03</v>
      </c>
      <c r="K11" s="147">
        <v>144.29</v>
      </c>
      <c r="L11" s="147">
        <v>51.53</v>
      </c>
      <c r="M11" s="147">
        <v>216.43</v>
      </c>
      <c r="N11" s="147">
        <v>77.3</v>
      </c>
      <c r="O11" s="147">
        <v>112.32</v>
      </c>
      <c r="P11" s="147">
        <v>360.71</v>
      </c>
      <c r="Q11" s="147">
        <v>128.83000000000001</v>
      </c>
      <c r="R11" s="147">
        <v>206.12</v>
      </c>
      <c r="S11" s="147">
        <v>2128.9699999999998</v>
      </c>
    </row>
    <row r="12" spans="1:19" customFormat="1" x14ac:dyDescent="0.25">
      <c r="A12" s="146" t="s">
        <v>24</v>
      </c>
      <c r="B12" s="146" t="s">
        <v>298</v>
      </c>
      <c r="C12" s="146">
        <v>4</v>
      </c>
      <c r="D12" s="146">
        <v>9</v>
      </c>
      <c r="E12" s="146" t="s">
        <v>21</v>
      </c>
      <c r="F12" s="146">
        <v>28</v>
      </c>
      <c r="G12" s="147">
        <v>490.17</v>
      </c>
      <c r="H12" s="147">
        <v>670.07</v>
      </c>
      <c r="I12" s="147">
        <v>42.58</v>
      </c>
      <c r="J12" s="147">
        <v>15.48</v>
      </c>
      <c r="K12" s="147">
        <v>96.07</v>
      </c>
      <c r="L12" s="147">
        <v>34.31</v>
      </c>
      <c r="M12" s="147">
        <v>144.11000000000001</v>
      </c>
      <c r="N12" s="147">
        <v>51.47</v>
      </c>
      <c r="O12" s="147">
        <v>74.790000000000006</v>
      </c>
      <c r="P12" s="147">
        <v>240.18</v>
      </c>
      <c r="Q12" s="147">
        <v>85.78</v>
      </c>
      <c r="R12" s="147">
        <v>137.25</v>
      </c>
      <c r="S12" s="147">
        <v>1592.09</v>
      </c>
    </row>
    <row r="13" spans="1:19" customFormat="1" x14ac:dyDescent="0.25">
      <c r="A13" s="146" t="s">
        <v>25</v>
      </c>
      <c r="B13" s="146" t="s">
        <v>299</v>
      </c>
      <c r="C13" s="146">
        <v>4</v>
      </c>
      <c r="D13" s="146">
        <v>9</v>
      </c>
      <c r="E13" s="146" t="s">
        <v>21</v>
      </c>
      <c r="F13" s="146">
        <v>28</v>
      </c>
      <c r="G13" s="147">
        <v>1201.1199999999999</v>
      </c>
      <c r="H13" s="147">
        <v>670.07</v>
      </c>
      <c r="I13" s="147">
        <v>261.55</v>
      </c>
      <c r="J13" s="147">
        <v>95.11</v>
      </c>
      <c r="K13" s="147">
        <v>235.42</v>
      </c>
      <c r="L13" s="147">
        <v>84.08</v>
      </c>
      <c r="M13" s="147">
        <v>353.13</v>
      </c>
      <c r="N13" s="147">
        <v>126.12</v>
      </c>
      <c r="O13" s="147">
        <v>183.26</v>
      </c>
      <c r="P13" s="147">
        <v>588.54999999999995</v>
      </c>
      <c r="Q13" s="147">
        <v>210.2</v>
      </c>
      <c r="R13" s="147">
        <v>336.31</v>
      </c>
      <c r="S13" s="147">
        <v>3143.8</v>
      </c>
    </row>
    <row r="14" spans="1:19" customFormat="1" x14ac:dyDescent="0.25">
      <c r="A14" s="146" t="s">
        <v>26</v>
      </c>
      <c r="B14" s="146" t="s">
        <v>300</v>
      </c>
      <c r="C14" s="146">
        <v>4</v>
      </c>
      <c r="D14" s="146">
        <v>9</v>
      </c>
      <c r="E14" s="146" t="s">
        <v>21</v>
      </c>
      <c r="F14" s="146">
        <v>28</v>
      </c>
      <c r="G14" s="147">
        <v>618.53</v>
      </c>
      <c r="H14" s="147">
        <v>670.07</v>
      </c>
      <c r="I14" s="147">
        <v>82.11</v>
      </c>
      <c r="J14" s="147">
        <v>29.86</v>
      </c>
      <c r="K14" s="147">
        <v>121.23</v>
      </c>
      <c r="L14" s="147">
        <v>43.3</v>
      </c>
      <c r="M14" s="147">
        <v>181.85</v>
      </c>
      <c r="N14" s="147">
        <v>64.95</v>
      </c>
      <c r="O14" s="147">
        <v>94.37</v>
      </c>
      <c r="P14" s="147">
        <v>303.08</v>
      </c>
      <c r="Q14" s="147">
        <v>108.24</v>
      </c>
      <c r="R14" s="147">
        <v>173.19</v>
      </c>
      <c r="S14" s="147">
        <v>1872.25</v>
      </c>
    </row>
    <row r="15" spans="1:19" customFormat="1" x14ac:dyDescent="0.25">
      <c r="A15" s="146" t="s">
        <v>27</v>
      </c>
      <c r="B15" s="146" t="s">
        <v>301</v>
      </c>
      <c r="C15" s="146">
        <v>1</v>
      </c>
      <c r="D15" s="146">
        <v>9</v>
      </c>
      <c r="E15" s="146" t="s">
        <v>21</v>
      </c>
      <c r="F15" s="146">
        <v>28</v>
      </c>
      <c r="G15" s="147">
        <v>330.57</v>
      </c>
      <c r="H15" s="147">
        <v>670.07</v>
      </c>
      <c r="I15" s="147">
        <v>0</v>
      </c>
      <c r="J15" s="147">
        <v>0</v>
      </c>
      <c r="K15" s="147">
        <v>64.790000000000006</v>
      </c>
      <c r="L15" s="147">
        <v>23.14</v>
      </c>
      <c r="M15" s="147">
        <v>97.19</v>
      </c>
      <c r="N15" s="147">
        <v>34.71</v>
      </c>
      <c r="O15" s="147">
        <v>50.44</v>
      </c>
      <c r="P15" s="147">
        <v>161.97999999999999</v>
      </c>
      <c r="Q15" s="147">
        <v>57.85</v>
      </c>
      <c r="R15" s="147">
        <v>92.56</v>
      </c>
      <c r="S15" s="147">
        <v>1252.73</v>
      </c>
    </row>
    <row r="16" spans="1:19" customFormat="1" x14ac:dyDescent="0.25">
      <c r="A16" s="146" t="s">
        <v>28</v>
      </c>
      <c r="B16" s="146" t="s">
        <v>302</v>
      </c>
      <c r="C16" s="146">
        <v>4</v>
      </c>
      <c r="D16" s="146">
        <v>9</v>
      </c>
      <c r="E16" s="146" t="s">
        <v>21</v>
      </c>
      <c r="F16" s="146">
        <v>28</v>
      </c>
      <c r="G16" s="147">
        <v>552.76</v>
      </c>
      <c r="H16" s="147">
        <v>670.07</v>
      </c>
      <c r="I16" s="147">
        <v>61.86</v>
      </c>
      <c r="J16" s="147">
        <v>22.49</v>
      </c>
      <c r="K16" s="147">
        <v>108.34</v>
      </c>
      <c r="L16" s="147">
        <v>38.69</v>
      </c>
      <c r="M16" s="147">
        <v>162.51</v>
      </c>
      <c r="N16" s="147">
        <v>58.04</v>
      </c>
      <c r="O16" s="147">
        <v>84.34</v>
      </c>
      <c r="P16" s="147">
        <v>270.85000000000002</v>
      </c>
      <c r="Q16" s="147">
        <v>96.73</v>
      </c>
      <c r="R16" s="147">
        <v>154.77000000000001</v>
      </c>
      <c r="S16" s="147">
        <v>1728.69</v>
      </c>
    </row>
    <row r="17" spans="1:19" customFormat="1" x14ac:dyDescent="0.25">
      <c r="A17" s="146" t="s">
        <v>29</v>
      </c>
      <c r="B17" s="146" t="s">
        <v>303</v>
      </c>
      <c r="C17" s="146">
        <v>4</v>
      </c>
      <c r="D17" s="146">
        <v>9</v>
      </c>
      <c r="E17" s="146" t="s">
        <v>21</v>
      </c>
      <c r="F17" s="146">
        <v>28</v>
      </c>
      <c r="G17" s="147">
        <v>1471.3</v>
      </c>
      <c r="H17" s="147">
        <v>670.07</v>
      </c>
      <c r="I17" s="147">
        <v>344.77</v>
      </c>
      <c r="J17" s="147">
        <v>125.37</v>
      </c>
      <c r="K17" s="147">
        <v>288.37</v>
      </c>
      <c r="L17" s="147">
        <v>102.99</v>
      </c>
      <c r="M17" s="147">
        <v>432.56</v>
      </c>
      <c r="N17" s="147">
        <v>154.49</v>
      </c>
      <c r="O17" s="147">
        <v>224.48</v>
      </c>
      <c r="P17" s="147">
        <v>720.94</v>
      </c>
      <c r="Q17" s="147">
        <v>257.48</v>
      </c>
      <c r="R17" s="147">
        <v>411.96</v>
      </c>
      <c r="S17" s="147">
        <v>3733.48</v>
      </c>
    </row>
    <row r="18" spans="1:19" customFormat="1" x14ac:dyDescent="0.25">
      <c r="A18" s="146" t="s">
        <v>304</v>
      </c>
      <c r="B18" s="146" t="s">
        <v>305</v>
      </c>
      <c r="C18" s="146">
        <v>4</v>
      </c>
      <c r="D18" s="146">
        <v>9</v>
      </c>
      <c r="E18" s="146" t="s">
        <v>21</v>
      </c>
      <c r="F18" s="146">
        <v>28</v>
      </c>
      <c r="G18" s="147">
        <v>1149.5899999999999</v>
      </c>
      <c r="H18" s="147">
        <v>670.07</v>
      </c>
      <c r="I18" s="147">
        <v>245.68</v>
      </c>
      <c r="J18" s="147">
        <v>89.34</v>
      </c>
      <c r="K18" s="147">
        <v>225.32</v>
      </c>
      <c r="L18" s="147">
        <v>80.47</v>
      </c>
      <c r="M18" s="147">
        <v>337.98</v>
      </c>
      <c r="N18" s="147">
        <v>120.71</v>
      </c>
      <c r="O18" s="147">
        <v>175.4</v>
      </c>
      <c r="P18" s="147">
        <v>563.29999999999995</v>
      </c>
      <c r="Q18" s="147">
        <v>201.18</v>
      </c>
      <c r="R18" s="147">
        <v>321.89</v>
      </c>
      <c r="S18" s="147">
        <v>3031.34</v>
      </c>
    </row>
    <row r="19" spans="1:19" customFormat="1" x14ac:dyDescent="0.25">
      <c r="A19" s="146" t="s">
        <v>30</v>
      </c>
      <c r="B19" s="146" t="s">
        <v>306</v>
      </c>
      <c r="C19" s="146">
        <v>4</v>
      </c>
      <c r="D19" s="146">
        <v>9</v>
      </c>
      <c r="E19" s="146" t="s">
        <v>21</v>
      </c>
      <c r="F19" s="146">
        <v>28</v>
      </c>
      <c r="G19" s="147">
        <v>472.35</v>
      </c>
      <c r="H19" s="147">
        <v>670.07</v>
      </c>
      <c r="I19" s="147">
        <v>37.090000000000003</v>
      </c>
      <c r="J19" s="147">
        <v>13.49</v>
      </c>
      <c r="K19" s="147">
        <v>92.58</v>
      </c>
      <c r="L19" s="147">
        <v>33.06</v>
      </c>
      <c r="M19" s="147">
        <v>138.87</v>
      </c>
      <c r="N19" s="147">
        <v>49.6</v>
      </c>
      <c r="O19" s="147">
        <v>72.069999999999993</v>
      </c>
      <c r="P19" s="147">
        <v>231.45</v>
      </c>
      <c r="Q19" s="147">
        <v>82.66</v>
      </c>
      <c r="R19" s="147">
        <v>132.26</v>
      </c>
      <c r="S19" s="147">
        <v>1553.2</v>
      </c>
    </row>
    <row r="20" spans="1:19" customFormat="1" x14ac:dyDescent="0.25">
      <c r="A20" s="146" t="s">
        <v>31</v>
      </c>
      <c r="B20" s="146" t="s">
        <v>307</v>
      </c>
      <c r="C20" s="146">
        <v>4</v>
      </c>
      <c r="D20" s="146">
        <v>9</v>
      </c>
      <c r="E20" s="146" t="s">
        <v>21</v>
      </c>
      <c r="F20" s="146">
        <v>28</v>
      </c>
      <c r="G20" s="147">
        <v>460.8</v>
      </c>
      <c r="H20" s="147">
        <v>670.07</v>
      </c>
      <c r="I20" s="147">
        <v>33.53</v>
      </c>
      <c r="J20" s="147">
        <v>12.19</v>
      </c>
      <c r="K20" s="147">
        <v>90.32</v>
      </c>
      <c r="L20" s="147">
        <v>32.26</v>
      </c>
      <c r="M20" s="147">
        <v>135.47999999999999</v>
      </c>
      <c r="N20" s="147">
        <v>48.38</v>
      </c>
      <c r="O20" s="147">
        <v>70.31</v>
      </c>
      <c r="P20" s="147">
        <v>225.79</v>
      </c>
      <c r="Q20" s="147">
        <v>80.64</v>
      </c>
      <c r="R20" s="147">
        <v>129.02000000000001</v>
      </c>
      <c r="S20" s="147">
        <v>1527.99</v>
      </c>
    </row>
    <row r="21" spans="1:19" customFormat="1" x14ac:dyDescent="0.25">
      <c r="A21" s="146" t="s">
        <v>308</v>
      </c>
      <c r="B21" s="146" t="s">
        <v>309</v>
      </c>
      <c r="C21" s="146">
        <v>1</v>
      </c>
      <c r="D21" s="146">
        <v>9</v>
      </c>
      <c r="E21" s="146" t="s">
        <v>21</v>
      </c>
      <c r="F21" s="146">
        <v>28</v>
      </c>
      <c r="G21" s="147">
        <v>330.57</v>
      </c>
      <c r="H21" s="147">
        <v>670.07</v>
      </c>
      <c r="I21" s="147">
        <v>0</v>
      </c>
      <c r="J21" s="147">
        <v>0</v>
      </c>
      <c r="K21" s="147">
        <v>64.790000000000006</v>
      </c>
      <c r="L21" s="147">
        <v>23.14</v>
      </c>
      <c r="M21" s="147">
        <v>97.19</v>
      </c>
      <c r="N21" s="147">
        <v>34.71</v>
      </c>
      <c r="O21" s="147">
        <v>50.44</v>
      </c>
      <c r="P21" s="147">
        <v>161.97999999999999</v>
      </c>
      <c r="Q21" s="147">
        <v>57.85</v>
      </c>
      <c r="R21" s="147">
        <v>92.56</v>
      </c>
      <c r="S21" s="147">
        <v>1252.73</v>
      </c>
    </row>
    <row r="22" spans="1:19" customFormat="1" x14ac:dyDescent="0.25">
      <c r="A22" s="146" t="s">
        <v>310</v>
      </c>
      <c r="B22" s="146" t="s">
        <v>311</v>
      </c>
      <c r="C22" s="146">
        <v>1</v>
      </c>
      <c r="D22" s="146">
        <v>9</v>
      </c>
      <c r="E22" s="146" t="s">
        <v>21</v>
      </c>
      <c r="F22" s="146">
        <v>28</v>
      </c>
      <c r="G22" s="147">
        <v>330.57</v>
      </c>
      <c r="H22" s="147">
        <v>670.07</v>
      </c>
      <c r="I22" s="147">
        <v>0</v>
      </c>
      <c r="J22" s="147">
        <v>0</v>
      </c>
      <c r="K22" s="147">
        <v>64.790000000000006</v>
      </c>
      <c r="L22" s="147">
        <v>23.14</v>
      </c>
      <c r="M22" s="147">
        <v>97.19</v>
      </c>
      <c r="N22" s="147">
        <v>34.71</v>
      </c>
      <c r="O22" s="147">
        <v>50.44</v>
      </c>
      <c r="P22" s="147">
        <v>161.97999999999999</v>
      </c>
      <c r="Q22" s="147">
        <v>57.85</v>
      </c>
      <c r="R22" s="147">
        <v>92.56</v>
      </c>
      <c r="S22" s="147">
        <v>1252.73</v>
      </c>
    </row>
    <row r="23" spans="1:19" customFormat="1" x14ac:dyDescent="0.25">
      <c r="A23" s="146" t="s">
        <v>32</v>
      </c>
      <c r="B23" s="146" t="s">
        <v>312</v>
      </c>
      <c r="C23" s="146">
        <v>4</v>
      </c>
      <c r="D23" s="146">
        <v>9</v>
      </c>
      <c r="E23" s="146" t="s">
        <v>21</v>
      </c>
      <c r="F23" s="146">
        <v>28</v>
      </c>
      <c r="G23" s="147">
        <v>645.21</v>
      </c>
      <c r="H23" s="147">
        <v>670.07</v>
      </c>
      <c r="I23" s="147">
        <v>90.33</v>
      </c>
      <c r="J23" s="147">
        <v>32.85</v>
      </c>
      <c r="K23" s="147">
        <v>126.46</v>
      </c>
      <c r="L23" s="147">
        <v>45.16</v>
      </c>
      <c r="M23" s="147">
        <v>189.69</v>
      </c>
      <c r="N23" s="147">
        <v>67.75</v>
      </c>
      <c r="O23" s="147">
        <v>98.44</v>
      </c>
      <c r="P23" s="147">
        <v>316.14999999999998</v>
      </c>
      <c r="Q23" s="147">
        <v>112.91</v>
      </c>
      <c r="R23" s="147">
        <v>180.66</v>
      </c>
      <c r="S23" s="147">
        <v>1930.47</v>
      </c>
    </row>
    <row r="24" spans="1:19" customFormat="1" x14ac:dyDescent="0.25">
      <c r="A24" s="146" t="s">
        <v>33</v>
      </c>
      <c r="B24" s="146" t="s">
        <v>313</v>
      </c>
      <c r="C24" s="146">
        <v>4</v>
      </c>
      <c r="D24" s="146">
        <v>9</v>
      </c>
      <c r="E24" s="146" t="s">
        <v>21</v>
      </c>
      <c r="F24" s="146">
        <v>28</v>
      </c>
      <c r="G24" s="147">
        <v>2735.49</v>
      </c>
      <c r="H24" s="147">
        <v>670.07</v>
      </c>
      <c r="I24" s="147">
        <v>734.14</v>
      </c>
      <c r="J24" s="147">
        <v>266.95999999999998</v>
      </c>
      <c r="K24" s="147">
        <v>536.16</v>
      </c>
      <c r="L24" s="147">
        <v>191.48</v>
      </c>
      <c r="M24" s="147">
        <v>804.23</v>
      </c>
      <c r="N24" s="147">
        <v>287.23</v>
      </c>
      <c r="O24" s="147">
        <v>417.37</v>
      </c>
      <c r="P24" s="147">
        <v>1340.39</v>
      </c>
      <c r="Q24" s="147">
        <v>478.71</v>
      </c>
      <c r="R24" s="147">
        <v>765.94</v>
      </c>
      <c r="S24" s="147">
        <v>6492.68</v>
      </c>
    </row>
    <row r="25" spans="1:19" customFormat="1" x14ac:dyDescent="0.25">
      <c r="A25" s="146" t="s">
        <v>34</v>
      </c>
      <c r="B25" s="146" t="s">
        <v>314</v>
      </c>
      <c r="C25" s="146">
        <v>4</v>
      </c>
      <c r="D25" s="146">
        <v>9</v>
      </c>
      <c r="E25" s="146" t="s">
        <v>21</v>
      </c>
      <c r="F25" s="146">
        <v>28</v>
      </c>
      <c r="G25" s="147">
        <v>655.49</v>
      </c>
      <c r="H25" s="147">
        <v>670.07</v>
      </c>
      <c r="I25" s="147">
        <v>93.5</v>
      </c>
      <c r="J25" s="147">
        <v>34</v>
      </c>
      <c r="K25" s="147">
        <v>128.47999999999999</v>
      </c>
      <c r="L25" s="147">
        <v>45.88</v>
      </c>
      <c r="M25" s="147">
        <v>192.71</v>
      </c>
      <c r="N25" s="147">
        <v>68.83</v>
      </c>
      <c r="O25" s="147">
        <v>100.01</v>
      </c>
      <c r="P25" s="147">
        <v>321.19</v>
      </c>
      <c r="Q25" s="147">
        <v>114.71</v>
      </c>
      <c r="R25" s="147">
        <v>183.54</v>
      </c>
      <c r="S25" s="147">
        <v>1952.92</v>
      </c>
    </row>
    <row r="26" spans="1:19" customFormat="1" x14ac:dyDescent="0.25">
      <c r="A26" s="146" t="s">
        <v>35</v>
      </c>
      <c r="B26" s="146" t="s">
        <v>315</v>
      </c>
      <c r="C26" s="146">
        <v>4</v>
      </c>
      <c r="D26" s="146">
        <v>9</v>
      </c>
      <c r="E26" s="146" t="s">
        <v>21</v>
      </c>
      <c r="F26" s="146">
        <v>28</v>
      </c>
      <c r="G26" s="147">
        <v>1035.8800000000001</v>
      </c>
      <c r="H26" s="147">
        <v>670.07</v>
      </c>
      <c r="I26" s="147">
        <v>210.66</v>
      </c>
      <c r="J26" s="147">
        <v>76.599999999999994</v>
      </c>
      <c r="K26" s="147">
        <v>203.03</v>
      </c>
      <c r="L26" s="147">
        <v>72.510000000000005</v>
      </c>
      <c r="M26" s="147">
        <v>304.55</v>
      </c>
      <c r="N26" s="147">
        <v>108.77</v>
      </c>
      <c r="O26" s="147">
        <v>158.05000000000001</v>
      </c>
      <c r="P26" s="147">
        <v>507.58</v>
      </c>
      <c r="Q26" s="147">
        <v>181.28</v>
      </c>
      <c r="R26" s="147">
        <v>290.05</v>
      </c>
      <c r="S26" s="147">
        <v>2783.15</v>
      </c>
    </row>
    <row r="27" spans="1:19" customFormat="1" x14ac:dyDescent="0.25">
      <c r="A27" s="146" t="s">
        <v>36</v>
      </c>
      <c r="B27" s="146" t="s">
        <v>316</v>
      </c>
      <c r="C27" s="146">
        <v>4</v>
      </c>
      <c r="D27" s="146">
        <v>9</v>
      </c>
      <c r="E27" s="146" t="s">
        <v>21</v>
      </c>
      <c r="F27" s="146">
        <v>28</v>
      </c>
      <c r="G27" s="147">
        <v>560.08000000000004</v>
      </c>
      <c r="H27" s="147">
        <v>670.07</v>
      </c>
      <c r="I27" s="147">
        <v>64.11</v>
      </c>
      <c r="J27" s="147">
        <v>23.31</v>
      </c>
      <c r="K27" s="147">
        <v>109.78</v>
      </c>
      <c r="L27" s="147">
        <v>39.21</v>
      </c>
      <c r="M27" s="147">
        <v>164.66</v>
      </c>
      <c r="N27" s="147">
        <v>58.81</v>
      </c>
      <c r="O27" s="147">
        <v>85.45</v>
      </c>
      <c r="P27" s="147">
        <v>274.44</v>
      </c>
      <c r="Q27" s="147">
        <v>98.01</v>
      </c>
      <c r="R27" s="147">
        <v>156.82</v>
      </c>
      <c r="S27" s="147">
        <v>1744.67</v>
      </c>
    </row>
    <row r="28" spans="1:19" customFormat="1" x14ac:dyDescent="0.25">
      <c r="A28" s="146" t="s">
        <v>37</v>
      </c>
      <c r="B28" s="146" t="s">
        <v>317</v>
      </c>
      <c r="C28" s="146">
        <v>4</v>
      </c>
      <c r="D28" s="146">
        <v>9</v>
      </c>
      <c r="E28" s="146" t="s">
        <v>21</v>
      </c>
      <c r="F28" s="146">
        <v>28</v>
      </c>
      <c r="G28" s="147">
        <v>439.65</v>
      </c>
      <c r="H28" s="147">
        <v>670.07</v>
      </c>
      <c r="I28" s="147">
        <v>27.02</v>
      </c>
      <c r="J28" s="147">
        <v>9.82</v>
      </c>
      <c r="K28" s="147">
        <v>86.17</v>
      </c>
      <c r="L28" s="147">
        <v>30.78</v>
      </c>
      <c r="M28" s="147">
        <v>129.26</v>
      </c>
      <c r="N28" s="147">
        <v>46.16</v>
      </c>
      <c r="O28" s="147">
        <v>67.08</v>
      </c>
      <c r="P28" s="147">
        <v>215.43</v>
      </c>
      <c r="Q28" s="147">
        <v>76.94</v>
      </c>
      <c r="R28" s="147">
        <v>123.1</v>
      </c>
      <c r="S28" s="147">
        <v>1481.83</v>
      </c>
    </row>
    <row r="29" spans="1:19" customFormat="1" x14ac:dyDescent="0.25">
      <c r="A29" s="146" t="s">
        <v>38</v>
      </c>
      <c r="B29" s="146" t="s">
        <v>318</v>
      </c>
      <c r="C29" s="146">
        <v>1</v>
      </c>
      <c r="D29" s="146">
        <v>9</v>
      </c>
      <c r="E29" s="146" t="s">
        <v>21</v>
      </c>
      <c r="F29" s="146">
        <v>28</v>
      </c>
      <c r="G29" s="147">
        <v>330.57</v>
      </c>
      <c r="H29" s="147">
        <v>670.07</v>
      </c>
      <c r="I29" s="147">
        <v>0</v>
      </c>
      <c r="J29" s="147">
        <v>0</v>
      </c>
      <c r="K29" s="147">
        <v>64.790000000000006</v>
      </c>
      <c r="L29" s="147">
        <v>23.14</v>
      </c>
      <c r="M29" s="147">
        <v>97.19</v>
      </c>
      <c r="N29" s="147">
        <v>34.71</v>
      </c>
      <c r="O29" s="147">
        <v>50.44</v>
      </c>
      <c r="P29" s="147">
        <v>161.97999999999999</v>
      </c>
      <c r="Q29" s="147">
        <v>57.85</v>
      </c>
      <c r="R29" s="147">
        <v>92.56</v>
      </c>
      <c r="S29" s="147">
        <v>1252.73</v>
      </c>
    </row>
    <row r="30" spans="1:19" customFormat="1" x14ac:dyDescent="0.25">
      <c r="A30" s="146" t="s">
        <v>39</v>
      </c>
      <c r="B30" s="146" t="s">
        <v>319</v>
      </c>
      <c r="C30" s="146">
        <v>1</v>
      </c>
      <c r="D30" s="146">
        <v>9</v>
      </c>
      <c r="E30" s="146" t="s">
        <v>21</v>
      </c>
      <c r="F30" s="146">
        <v>28</v>
      </c>
      <c r="G30" s="147">
        <v>330.57</v>
      </c>
      <c r="H30" s="147">
        <v>670.07</v>
      </c>
      <c r="I30" s="147">
        <v>0</v>
      </c>
      <c r="J30" s="147">
        <v>0</v>
      </c>
      <c r="K30" s="147">
        <v>64.790000000000006</v>
      </c>
      <c r="L30" s="147">
        <v>23.14</v>
      </c>
      <c r="M30" s="147">
        <v>97.19</v>
      </c>
      <c r="N30" s="147">
        <v>34.71</v>
      </c>
      <c r="O30" s="147">
        <v>50.44</v>
      </c>
      <c r="P30" s="147">
        <v>161.97999999999999</v>
      </c>
      <c r="Q30" s="147">
        <v>57.85</v>
      </c>
      <c r="R30" s="147">
        <v>92.56</v>
      </c>
      <c r="S30" s="147">
        <v>1252.73</v>
      </c>
    </row>
    <row r="31" spans="1:19" customFormat="1" x14ac:dyDescent="0.25">
      <c r="A31" s="146" t="s">
        <v>40</v>
      </c>
      <c r="B31" s="146" t="s">
        <v>320</v>
      </c>
      <c r="C31" s="146">
        <v>4</v>
      </c>
      <c r="D31" s="146">
        <v>9</v>
      </c>
      <c r="E31" s="146" t="s">
        <v>21</v>
      </c>
      <c r="F31" s="146">
        <v>28</v>
      </c>
      <c r="G31" s="147">
        <v>857.88</v>
      </c>
      <c r="H31" s="147">
        <v>670.07</v>
      </c>
      <c r="I31" s="147">
        <v>155.83000000000001</v>
      </c>
      <c r="J31" s="147">
        <v>56.67</v>
      </c>
      <c r="K31" s="147">
        <v>168.14</v>
      </c>
      <c r="L31" s="147">
        <v>60.05</v>
      </c>
      <c r="M31" s="147">
        <v>252.22</v>
      </c>
      <c r="N31" s="147">
        <v>90.08</v>
      </c>
      <c r="O31" s="147">
        <v>130.88999999999999</v>
      </c>
      <c r="P31" s="147">
        <v>420.36</v>
      </c>
      <c r="Q31" s="147">
        <v>150.13</v>
      </c>
      <c r="R31" s="147">
        <v>240.21</v>
      </c>
      <c r="S31" s="147">
        <v>2394.65</v>
      </c>
    </row>
    <row r="32" spans="1:19" customFormat="1" x14ac:dyDescent="0.25">
      <c r="A32" s="146" t="s">
        <v>41</v>
      </c>
      <c r="B32" s="146" t="s">
        <v>321</v>
      </c>
      <c r="C32" s="146">
        <v>1</v>
      </c>
      <c r="D32" s="146">
        <v>9</v>
      </c>
      <c r="E32" s="146" t="s">
        <v>21</v>
      </c>
      <c r="F32" s="146">
        <v>28</v>
      </c>
      <c r="G32" s="147">
        <v>330.57</v>
      </c>
      <c r="H32" s="147">
        <v>670.07</v>
      </c>
      <c r="I32" s="147">
        <v>0</v>
      </c>
      <c r="J32" s="147">
        <v>0</v>
      </c>
      <c r="K32" s="147">
        <v>64.790000000000006</v>
      </c>
      <c r="L32" s="147">
        <v>23.14</v>
      </c>
      <c r="M32" s="147">
        <v>97.19</v>
      </c>
      <c r="N32" s="147">
        <v>34.71</v>
      </c>
      <c r="O32" s="147">
        <v>50.44</v>
      </c>
      <c r="P32" s="147">
        <v>161.97999999999999</v>
      </c>
      <c r="Q32" s="147">
        <v>57.85</v>
      </c>
      <c r="R32" s="147">
        <v>92.56</v>
      </c>
      <c r="S32" s="147">
        <v>1252.73</v>
      </c>
    </row>
    <row r="33" spans="1:19" customFormat="1" x14ac:dyDescent="0.25">
      <c r="A33" s="146" t="s">
        <v>42</v>
      </c>
      <c r="B33" s="146" t="s">
        <v>322</v>
      </c>
      <c r="C33" s="146">
        <v>4</v>
      </c>
      <c r="D33" s="146">
        <v>9</v>
      </c>
      <c r="E33" s="146" t="s">
        <v>21</v>
      </c>
      <c r="F33" s="146">
        <v>28</v>
      </c>
      <c r="G33" s="147">
        <v>359.06</v>
      </c>
      <c r="H33" s="147">
        <v>670.07</v>
      </c>
      <c r="I33" s="147">
        <v>2.2000000000000002</v>
      </c>
      <c r="J33" s="147">
        <v>0.8</v>
      </c>
      <c r="K33" s="147">
        <v>70.38</v>
      </c>
      <c r="L33" s="147">
        <v>25.13</v>
      </c>
      <c r="M33" s="147">
        <v>105.56</v>
      </c>
      <c r="N33" s="147">
        <v>37.700000000000003</v>
      </c>
      <c r="O33" s="147">
        <v>54.78</v>
      </c>
      <c r="P33" s="147">
        <v>175.94</v>
      </c>
      <c r="Q33" s="147">
        <v>62.84</v>
      </c>
      <c r="R33" s="147">
        <v>100.54</v>
      </c>
      <c r="S33" s="147">
        <v>1305.94</v>
      </c>
    </row>
    <row r="34" spans="1:19" customFormat="1" x14ac:dyDescent="0.25">
      <c r="A34" s="146" t="s">
        <v>43</v>
      </c>
      <c r="B34" s="146" t="s">
        <v>323</v>
      </c>
      <c r="C34" s="146">
        <v>4</v>
      </c>
      <c r="D34" s="146">
        <v>9</v>
      </c>
      <c r="E34" s="146" t="s">
        <v>21</v>
      </c>
      <c r="F34" s="146">
        <v>28</v>
      </c>
      <c r="G34" s="147">
        <v>465.43</v>
      </c>
      <c r="H34" s="147">
        <v>670.07</v>
      </c>
      <c r="I34" s="147">
        <v>34.96</v>
      </c>
      <c r="J34" s="147">
        <v>12.71</v>
      </c>
      <c r="K34" s="147">
        <v>91.22</v>
      </c>
      <c r="L34" s="147">
        <v>32.58</v>
      </c>
      <c r="M34" s="147">
        <v>136.84</v>
      </c>
      <c r="N34" s="147">
        <v>48.87</v>
      </c>
      <c r="O34" s="147">
        <v>71.010000000000005</v>
      </c>
      <c r="P34" s="147">
        <v>228.06</v>
      </c>
      <c r="Q34" s="147">
        <v>81.45</v>
      </c>
      <c r="R34" s="147">
        <v>130.32</v>
      </c>
      <c r="S34" s="147">
        <v>1538.09</v>
      </c>
    </row>
    <row r="35" spans="1:19" customFormat="1" x14ac:dyDescent="0.25">
      <c r="A35" s="146" t="s">
        <v>44</v>
      </c>
      <c r="B35" s="146" t="s">
        <v>324</v>
      </c>
      <c r="C35" s="146">
        <v>4</v>
      </c>
      <c r="D35" s="146">
        <v>9</v>
      </c>
      <c r="E35" s="146" t="s">
        <v>21</v>
      </c>
      <c r="F35" s="146">
        <v>28</v>
      </c>
      <c r="G35" s="147">
        <v>514.09</v>
      </c>
      <c r="H35" s="147">
        <v>670.07</v>
      </c>
      <c r="I35" s="147">
        <v>49.95</v>
      </c>
      <c r="J35" s="147">
        <v>18.16</v>
      </c>
      <c r="K35" s="147">
        <v>100.76</v>
      </c>
      <c r="L35" s="147">
        <v>35.99</v>
      </c>
      <c r="M35" s="147">
        <v>151.13999999999999</v>
      </c>
      <c r="N35" s="147">
        <v>53.98</v>
      </c>
      <c r="O35" s="147">
        <v>78.44</v>
      </c>
      <c r="P35" s="147">
        <v>251.9</v>
      </c>
      <c r="Q35" s="147">
        <v>89.97</v>
      </c>
      <c r="R35" s="147">
        <v>143.94999999999999</v>
      </c>
      <c r="S35" s="147">
        <v>1644.31</v>
      </c>
    </row>
    <row r="36" spans="1:19" customFormat="1" x14ac:dyDescent="0.25">
      <c r="A36" s="146" t="s">
        <v>45</v>
      </c>
      <c r="B36" s="146" t="s">
        <v>325</v>
      </c>
      <c r="C36" s="146">
        <v>4</v>
      </c>
      <c r="D36" s="146">
        <v>9</v>
      </c>
      <c r="E36" s="146" t="s">
        <v>21</v>
      </c>
      <c r="F36" s="146">
        <v>28</v>
      </c>
      <c r="G36" s="147">
        <v>2200.5100000000002</v>
      </c>
      <c r="H36" s="147">
        <v>670.07</v>
      </c>
      <c r="I36" s="147">
        <v>569.36</v>
      </c>
      <c r="J36" s="147">
        <v>207.04</v>
      </c>
      <c r="K36" s="147">
        <v>431.3</v>
      </c>
      <c r="L36" s="147">
        <v>154.04</v>
      </c>
      <c r="M36" s="147">
        <v>646.95000000000005</v>
      </c>
      <c r="N36" s="147">
        <v>231.05</v>
      </c>
      <c r="O36" s="147">
        <v>335.74</v>
      </c>
      <c r="P36" s="147">
        <v>1078.25</v>
      </c>
      <c r="Q36" s="147">
        <v>385.09</v>
      </c>
      <c r="R36" s="147">
        <v>616.14</v>
      </c>
      <c r="S36" s="147">
        <v>5325.03</v>
      </c>
    </row>
    <row r="37" spans="1:19" customFormat="1" x14ac:dyDescent="0.25">
      <c r="A37" s="146" t="s">
        <v>46</v>
      </c>
      <c r="B37" s="146" t="s">
        <v>326</v>
      </c>
      <c r="C37" s="146">
        <v>4</v>
      </c>
      <c r="D37" s="146">
        <v>9</v>
      </c>
      <c r="E37" s="146" t="s">
        <v>21</v>
      </c>
      <c r="F37" s="146">
        <v>28</v>
      </c>
      <c r="G37" s="147">
        <v>2503.3000000000002</v>
      </c>
      <c r="H37" s="147">
        <v>670.07</v>
      </c>
      <c r="I37" s="147">
        <v>662.62</v>
      </c>
      <c r="J37" s="147">
        <v>240.95</v>
      </c>
      <c r="K37" s="147">
        <v>490.65</v>
      </c>
      <c r="L37" s="147">
        <v>175.23</v>
      </c>
      <c r="M37" s="147">
        <v>735.97</v>
      </c>
      <c r="N37" s="147">
        <v>262.85000000000002</v>
      </c>
      <c r="O37" s="147">
        <v>381.94</v>
      </c>
      <c r="P37" s="147">
        <v>1226.6199999999999</v>
      </c>
      <c r="Q37" s="147">
        <v>438.08</v>
      </c>
      <c r="R37" s="147">
        <v>700.92</v>
      </c>
      <c r="S37" s="147">
        <v>5985.9</v>
      </c>
    </row>
    <row r="38" spans="1:19" customFormat="1" x14ac:dyDescent="0.25">
      <c r="A38" s="146" t="s">
        <v>47</v>
      </c>
      <c r="B38" s="146" t="s">
        <v>327</v>
      </c>
      <c r="C38" s="146">
        <v>4</v>
      </c>
      <c r="D38" s="146">
        <v>9</v>
      </c>
      <c r="E38" s="146" t="s">
        <v>21</v>
      </c>
      <c r="F38" s="146">
        <v>28</v>
      </c>
      <c r="G38" s="147">
        <v>559.49</v>
      </c>
      <c r="H38" s="147">
        <v>670.07</v>
      </c>
      <c r="I38" s="147">
        <v>63.93</v>
      </c>
      <c r="J38" s="147">
        <v>23.25</v>
      </c>
      <c r="K38" s="147">
        <v>109.66</v>
      </c>
      <c r="L38" s="147">
        <v>39.159999999999997</v>
      </c>
      <c r="M38" s="147">
        <v>164.49</v>
      </c>
      <c r="N38" s="147">
        <v>58.75</v>
      </c>
      <c r="O38" s="147">
        <v>85.36</v>
      </c>
      <c r="P38" s="147">
        <v>274.14999999999998</v>
      </c>
      <c r="Q38" s="147">
        <v>97.91</v>
      </c>
      <c r="R38" s="147">
        <v>156.66</v>
      </c>
      <c r="S38" s="147">
        <v>1743.39</v>
      </c>
    </row>
    <row r="39" spans="1:19" customFormat="1" x14ac:dyDescent="0.25">
      <c r="A39" s="146" t="s">
        <v>48</v>
      </c>
      <c r="B39" s="146" t="s">
        <v>328</v>
      </c>
      <c r="C39" s="146">
        <v>1</v>
      </c>
      <c r="D39" s="146">
        <v>9</v>
      </c>
      <c r="E39" s="146" t="s">
        <v>21</v>
      </c>
      <c r="F39" s="146">
        <v>28</v>
      </c>
      <c r="G39" s="147">
        <v>330.57</v>
      </c>
      <c r="H39" s="147">
        <v>670.07</v>
      </c>
      <c r="I39" s="147">
        <v>0</v>
      </c>
      <c r="J39" s="147">
        <v>0</v>
      </c>
      <c r="K39" s="147">
        <v>64.790000000000006</v>
      </c>
      <c r="L39" s="147">
        <v>23.14</v>
      </c>
      <c r="M39" s="147">
        <v>97.19</v>
      </c>
      <c r="N39" s="147">
        <v>34.71</v>
      </c>
      <c r="O39" s="147">
        <v>50.44</v>
      </c>
      <c r="P39" s="147">
        <v>161.97999999999999</v>
      </c>
      <c r="Q39" s="147">
        <v>57.85</v>
      </c>
      <c r="R39" s="147">
        <v>92.56</v>
      </c>
      <c r="S39" s="147">
        <v>1252.73</v>
      </c>
    </row>
    <row r="40" spans="1:19" customFormat="1" x14ac:dyDescent="0.25">
      <c r="A40" s="146" t="s">
        <v>49</v>
      </c>
      <c r="B40" s="146" t="s">
        <v>329</v>
      </c>
      <c r="C40" s="146">
        <v>4</v>
      </c>
      <c r="D40" s="146">
        <v>9</v>
      </c>
      <c r="E40" s="146" t="s">
        <v>21</v>
      </c>
      <c r="F40" s="146">
        <v>28</v>
      </c>
      <c r="G40" s="147">
        <v>842.65</v>
      </c>
      <c r="H40" s="147">
        <v>670.07</v>
      </c>
      <c r="I40" s="147">
        <v>151.13999999999999</v>
      </c>
      <c r="J40" s="147">
        <v>54.96</v>
      </c>
      <c r="K40" s="147">
        <v>165.16</v>
      </c>
      <c r="L40" s="147">
        <v>58.99</v>
      </c>
      <c r="M40" s="147">
        <v>247.74</v>
      </c>
      <c r="N40" s="147">
        <v>88.48</v>
      </c>
      <c r="O40" s="147">
        <v>128.57</v>
      </c>
      <c r="P40" s="147">
        <v>412.9</v>
      </c>
      <c r="Q40" s="147">
        <v>147.46</v>
      </c>
      <c r="R40" s="147">
        <v>235.94</v>
      </c>
      <c r="S40" s="147">
        <v>2361.41</v>
      </c>
    </row>
    <row r="41" spans="1:19" customFormat="1" x14ac:dyDescent="0.25">
      <c r="A41" s="146" t="s">
        <v>50</v>
      </c>
      <c r="B41" s="146" t="s">
        <v>330</v>
      </c>
      <c r="C41" s="146">
        <v>4</v>
      </c>
      <c r="D41" s="146">
        <v>9</v>
      </c>
      <c r="E41" s="146" t="s">
        <v>21</v>
      </c>
      <c r="F41" s="146">
        <v>28</v>
      </c>
      <c r="G41" s="147">
        <v>468.71</v>
      </c>
      <c r="H41" s="147">
        <v>670.07</v>
      </c>
      <c r="I41" s="147">
        <v>35.97</v>
      </c>
      <c r="J41" s="147">
        <v>13.08</v>
      </c>
      <c r="K41" s="147">
        <v>91.87</v>
      </c>
      <c r="L41" s="147">
        <v>32.81</v>
      </c>
      <c r="M41" s="147">
        <v>137.80000000000001</v>
      </c>
      <c r="N41" s="147">
        <v>49.21</v>
      </c>
      <c r="O41" s="147">
        <v>71.510000000000005</v>
      </c>
      <c r="P41" s="147">
        <v>229.67</v>
      </c>
      <c r="Q41" s="147">
        <v>82.02</v>
      </c>
      <c r="R41" s="147">
        <v>131.24</v>
      </c>
      <c r="S41" s="147">
        <v>1545.25</v>
      </c>
    </row>
    <row r="42" spans="1:19" customFormat="1" x14ac:dyDescent="0.25">
      <c r="A42" s="146" t="s">
        <v>51</v>
      </c>
      <c r="B42" s="146" t="s">
        <v>331</v>
      </c>
      <c r="C42" s="146">
        <v>4</v>
      </c>
      <c r="D42" s="146">
        <v>9</v>
      </c>
      <c r="E42" s="146" t="s">
        <v>21</v>
      </c>
      <c r="F42" s="146">
        <v>28</v>
      </c>
      <c r="G42" s="147">
        <v>631.1</v>
      </c>
      <c r="H42" s="147">
        <v>670.07</v>
      </c>
      <c r="I42" s="147">
        <v>85.98</v>
      </c>
      <c r="J42" s="147">
        <v>31.27</v>
      </c>
      <c r="K42" s="147">
        <v>123.7</v>
      </c>
      <c r="L42" s="147">
        <v>44.18</v>
      </c>
      <c r="M42" s="147">
        <v>185.54</v>
      </c>
      <c r="N42" s="147">
        <v>66.27</v>
      </c>
      <c r="O42" s="147">
        <v>96.29</v>
      </c>
      <c r="P42" s="147">
        <v>309.24</v>
      </c>
      <c r="Q42" s="147">
        <v>110.44</v>
      </c>
      <c r="R42" s="147">
        <v>176.71</v>
      </c>
      <c r="S42" s="147">
        <v>1899.69</v>
      </c>
    </row>
    <row r="43" spans="1:19" customFormat="1" x14ac:dyDescent="0.25">
      <c r="A43" s="146" t="s">
        <v>52</v>
      </c>
      <c r="B43" s="146" t="s">
        <v>332</v>
      </c>
      <c r="C43" s="146">
        <v>4</v>
      </c>
      <c r="D43" s="146">
        <v>9</v>
      </c>
      <c r="E43" s="146" t="s">
        <v>21</v>
      </c>
      <c r="F43" s="146">
        <v>28</v>
      </c>
      <c r="G43" s="147">
        <v>431.83</v>
      </c>
      <c r="H43" s="147">
        <v>670.07</v>
      </c>
      <c r="I43" s="147">
        <v>24.61</v>
      </c>
      <c r="J43" s="147">
        <v>8.9499999999999993</v>
      </c>
      <c r="K43" s="147">
        <v>84.64</v>
      </c>
      <c r="L43" s="147">
        <v>30.23</v>
      </c>
      <c r="M43" s="147">
        <v>126.96</v>
      </c>
      <c r="N43" s="147">
        <v>45.34</v>
      </c>
      <c r="O43" s="147">
        <v>65.89</v>
      </c>
      <c r="P43" s="147">
        <v>211.6</v>
      </c>
      <c r="Q43" s="147">
        <v>75.569999999999993</v>
      </c>
      <c r="R43" s="147">
        <v>120.91</v>
      </c>
      <c r="S43" s="147">
        <v>1464.77</v>
      </c>
    </row>
    <row r="44" spans="1:19" customFormat="1" x14ac:dyDescent="0.25">
      <c r="A44" s="146" t="s">
        <v>53</v>
      </c>
      <c r="B44" s="146" t="s">
        <v>333</v>
      </c>
      <c r="C44" s="146">
        <v>4</v>
      </c>
      <c r="D44" s="146">
        <v>9</v>
      </c>
      <c r="E44" s="146" t="s">
        <v>21</v>
      </c>
      <c r="F44" s="146">
        <v>28</v>
      </c>
      <c r="G44" s="147">
        <v>809.93</v>
      </c>
      <c r="H44" s="147">
        <v>670.07</v>
      </c>
      <c r="I44" s="147">
        <v>141.06</v>
      </c>
      <c r="J44" s="147">
        <v>51.3</v>
      </c>
      <c r="K44" s="147">
        <v>158.75</v>
      </c>
      <c r="L44" s="147">
        <v>56.7</v>
      </c>
      <c r="M44" s="147">
        <v>238.12</v>
      </c>
      <c r="N44" s="147">
        <v>85.04</v>
      </c>
      <c r="O44" s="147">
        <v>123.57</v>
      </c>
      <c r="P44" s="147">
        <v>396.87</v>
      </c>
      <c r="Q44" s="147">
        <v>141.74</v>
      </c>
      <c r="R44" s="147">
        <v>226.78</v>
      </c>
      <c r="S44" s="147">
        <v>2290</v>
      </c>
    </row>
    <row r="45" spans="1:19" customFormat="1" x14ac:dyDescent="0.25">
      <c r="A45" s="146" t="s">
        <v>54</v>
      </c>
      <c r="B45" s="146" t="s">
        <v>334</v>
      </c>
      <c r="C45" s="146">
        <v>4</v>
      </c>
      <c r="D45" s="146">
        <v>9</v>
      </c>
      <c r="E45" s="146" t="s">
        <v>21</v>
      </c>
      <c r="F45" s="146">
        <v>28</v>
      </c>
      <c r="G45" s="147">
        <v>430.52</v>
      </c>
      <c r="H45" s="147">
        <v>670.07</v>
      </c>
      <c r="I45" s="147">
        <v>24.21</v>
      </c>
      <c r="J45" s="147">
        <v>8.8000000000000007</v>
      </c>
      <c r="K45" s="147">
        <v>84.38</v>
      </c>
      <c r="L45" s="147">
        <v>30.14</v>
      </c>
      <c r="M45" s="147">
        <v>126.57</v>
      </c>
      <c r="N45" s="147">
        <v>45.2</v>
      </c>
      <c r="O45" s="147">
        <v>65.69</v>
      </c>
      <c r="P45" s="147">
        <v>210.95</v>
      </c>
      <c r="Q45" s="147">
        <v>75.34</v>
      </c>
      <c r="R45" s="147">
        <v>120.55</v>
      </c>
      <c r="S45" s="147">
        <v>1461.9</v>
      </c>
    </row>
    <row r="46" spans="1:19" customFormat="1" x14ac:dyDescent="0.25">
      <c r="A46" s="146" t="s">
        <v>55</v>
      </c>
      <c r="B46" s="146" t="s">
        <v>335</v>
      </c>
      <c r="C46" s="146">
        <v>4</v>
      </c>
      <c r="D46" s="146">
        <v>9</v>
      </c>
      <c r="E46" s="146" t="s">
        <v>21</v>
      </c>
      <c r="F46" s="146">
        <v>28</v>
      </c>
      <c r="G46" s="147">
        <v>425.62</v>
      </c>
      <c r="H46" s="147">
        <v>670.07</v>
      </c>
      <c r="I46" s="147">
        <v>22.7</v>
      </c>
      <c r="J46" s="147">
        <v>8.25</v>
      </c>
      <c r="K46" s="147">
        <v>83.42</v>
      </c>
      <c r="L46" s="147">
        <v>29.79</v>
      </c>
      <c r="M46" s="147">
        <v>125.13</v>
      </c>
      <c r="N46" s="147">
        <v>44.69</v>
      </c>
      <c r="O46" s="147">
        <v>64.94</v>
      </c>
      <c r="P46" s="147">
        <v>208.55</v>
      </c>
      <c r="Q46" s="147">
        <v>74.48</v>
      </c>
      <c r="R46" s="147">
        <v>119.17</v>
      </c>
      <c r="S46" s="147">
        <v>1451.19</v>
      </c>
    </row>
    <row r="47" spans="1:19" customFormat="1" x14ac:dyDescent="0.25">
      <c r="A47" s="146" t="s">
        <v>336</v>
      </c>
      <c r="B47" s="146" t="s">
        <v>337</v>
      </c>
      <c r="C47" s="146">
        <v>4</v>
      </c>
      <c r="D47" s="146">
        <v>9</v>
      </c>
      <c r="E47" s="146" t="s">
        <v>21</v>
      </c>
      <c r="F47" s="146">
        <v>28</v>
      </c>
      <c r="G47" s="147">
        <v>347.29</v>
      </c>
      <c r="H47" s="147">
        <v>670.07</v>
      </c>
      <c r="I47" s="147">
        <v>0</v>
      </c>
      <c r="J47" s="147">
        <v>0</v>
      </c>
      <c r="K47" s="147">
        <v>68.069999999999993</v>
      </c>
      <c r="L47" s="147">
        <v>24.31</v>
      </c>
      <c r="M47" s="147">
        <v>102.1</v>
      </c>
      <c r="N47" s="147">
        <v>36.47</v>
      </c>
      <c r="O47" s="147">
        <v>52.99</v>
      </c>
      <c r="P47" s="147">
        <v>170.17</v>
      </c>
      <c r="Q47" s="147">
        <v>60.78</v>
      </c>
      <c r="R47" s="147">
        <v>97.24</v>
      </c>
      <c r="S47" s="147">
        <v>1282.2</v>
      </c>
    </row>
    <row r="48" spans="1:19" customFormat="1" x14ac:dyDescent="0.25">
      <c r="A48" s="146" t="s">
        <v>56</v>
      </c>
      <c r="B48" s="146" t="s">
        <v>338</v>
      </c>
      <c r="C48" s="146">
        <v>4</v>
      </c>
      <c r="D48" s="146">
        <v>9</v>
      </c>
      <c r="E48" s="146" t="s">
        <v>21</v>
      </c>
      <c r="F48" s="146">
        <v>28</v>
      </c>
      <c r="G48" s="147">
        <v>439.27</v>
      </c>
      <c r="H48" s="147">
        <v>670.07</v>
      </c>
      <c r="I48" s="147">
        <v>26.9</v>
      </c>
      <c r="J48" s="147">
        <v>9.7799999999999994</v>
      </c>
      <c r="K48" s="147">
        <v>86.1</v>
      </c>
      <c r="L48" s="147">
        <v>30.75</v>
      </c>
      <c r="M48" s="147">
        <v>129.15</v>
      </c>
      <c r="N48" s="147">
        <v>46.12</v>
      </c>
      <c r="O48" s="147">
        <v>67.02</v>
      </c>
      <c r="P48" s="147">
        <v>215.24</v>
      </c>
      <c r="Q48" s="147">
        <v>76.87</v>
      </c>
      <c r="R48" s="147">
        <v>123</v>
      </c>
      <c r="S48" s="147">
        <v>1481</v>
      </c>
    </row>
    <row r="49" spans="1:19" customFormat="1" x14ac:dyDescent="0.25">
      <c r="A49" s="146" t="s">
        <v>57</v>
      </c>
      <c r="B49" s="146" t="s">
        <v>339</v>
      </c>
      <c r="C49" s="146">
        <v>4</v>
      </c>
      <c r="D49" s="146">
        <v>9</v>
      </c>
      <c r="E49" s="146" t="s">
        <v>21</v>
      </c>
      <c r="F49" s="146">
        <v>28</v>
      </c>
      <c r="G49" s="147">
        <v>792.41</v>
      </c>
      <c r="H49" s="147">
        <v>670.07</v>
      </c>
      <c r="I49" s="147">
        <v>135.66999999999999</v>
      </c>
      <c r="J49" s="147">
        <v>49.33</v>
      </c>
      <c r="K49" s="147">
        <v>155.31</v>
      </c>
      <c r="L49" s="147">
        <v>55.47</v>
      </c>
      <c r="M49" s="147">
        <v>232.97</v>
      </c>
      <c r="N49" s="147">
        <v>83.2</v>
      </c>
      <c r="O49" s="147">
        <v>120.9</v>
      </c>
      <c r="P49" s="147">
        <v>388.28</v>
      </c>
      <c r="Q49" s="147">
        <v>138.66999999999999</v>
      </c>
      <c r="R49" s="147">
        <v>221.87</v>
      </c>
      <c r="S49" s="147">
        <v>2251.7399999999998</v>
      </c>
    </row>
    <row r="50" spans="1:19" customFormat="1" x14ac:dyDescent="0.25">
      <c r="A50" s="146" t="s">
        <v>340</v>
      </c>
      <c r="B50" s="146" t="s">
        <v>341</v>
      </c>
      <c r="C50" s="146">
        <v>4</v>
      </c>
      <c r="D50" s="146">
        <v>9</v>
      </c>
      <c r="E50" s="146" t="s">
        <v>21</v>
      </c>
      <c r="F50" s="146">
        <v>28</v>
      </c>
      <c r="G50" s="147">
        <v>357.16</v>
      </c>
      <c r="H50" s="147">
        <v>670.07</v>
      </c>
      <c r="I50" s="147">
        <v>1.61</v>
      </c>
      <c r="J50" s="147">
        <v>0.59</v>
      </c>
      <c r="K50" s="147">
        <v>70</v>
      </c>
      <c r="L50" s="147">
        <v>25</v>
      </c>
      <c r="M50" s="147">
        <v>105.01</v>
      </c>
      <c r="N50" s="147">
        <v>37.5</v>
      </c>
      <c r="O50" s="147">
        <v>54.49</v>
      </c>
      <c r="P50" s="147">
        <v>175.01</v>
      </c>
      <c r="Q50" s="147">
        <v>62.5</v>
      </c>
      <c r="R50" s="147">
        <v>100</v>
      </c>
      <c r="S50" s="147">
        <v>1301.78</v>
      </c>
    </row>
    <row r="51" spans="1:19" customFormat="1" x14ac:dyDescent="0.25">
      <c r="A51" s="146" t="s">
        <v>58</v>
      </c>
      <c r="B51" s="146" t="s">
        <v>342</v>
      </c>
      <c r="C51" s="146">
        <v>4</v>
      </c>
      <c r="D51" s="146">
        <v>9</v>
      </c>
      <c r="E51" s="146" t="s">
        <v>21</v>
      </c>
      <c r="F51" s="146">
        <v>28</v>
      </c>
      <c r="G51" s="147">
        <v>561.26</v>
      </c>
      <c r="H51" s="147">
        <v>670.07</v>
      </c>
      <c r="I51" s="147">
        <v>64.47</v>
      </c>
      <c r="J51" s="147">
        <v>23.44</v>
      </c>
      <c r="K51" s="147">
        <v>110.01</v>
      </c>
      <c r="L51" s="147">
        <v>39.29</v>
      </c>
      <c r="M51" s="147">
        <v>165.01</v>
      </c>
      <c r="N51" s="147">
        <v>58.93</v>
      </c>
      <c r="O51" s="147">
        <v>85.63</v>
      </c>
      <c r="P51" s="147">
        <v>275.02</v>
      </c>
      <c r="Q51" s="147">
        <v>98.22</v>
      </c>
      <c r="R51" s="147">
        <v>157.15</v>
      </c>
      <c r="S51" s="147">
        <v>1747.24</v>
      </c>
    </row>
    <row r="52" spans="1:19" customFormat="1" x14ac:dyDescent="0.25">
      <c r="A52" s="146" t="s">
        <v>59</v>
      </c>
      <c r="B52" s="146" t="s">
        <v>343</v>
      </c>
      <c r="C52" s="146">
        <v>4</v>
      </c>
      <c r="D52" s="146">
        <v>9</v>
      </c>
      <c r="E52" s="146" t="s">
        <v>21</v>
      </c>
      <c r="F52" s="146">
        <v>28</v>
      </c>
      <c r="G52" s="147">
        <v>560.66999999999996</v>
      </c>
      <c r="H52" s="147">
        <v>670.07</v>
      </c>
      <c r="I52" s="147">
        <v>64.290000000000006</v>
      </c>
      <c r="J52" s="147">
        <v>23.38</v>
      </c>
      <c r="K52" s="147">
        <v>109.89</v>
      </c>
      <c r="L52" s="147">
        <v>39.25</v>
      </c>
      <c r="M52" s="147">
        <v>164.84</v>
      </c>
      <c r="N52" s="147">
        <v>58.87</v>
      </c>
      <c r="O52" s="147">
        <v>85.54</v>
      </c>
      <c r="P52" s="147">
        <v>274.73</v>
      </c>
      <c r="Q52" s="147">
        <v>98.12</v>
      </c>
      <c r="R52" s="147">
        <v>156.99</v>
      </c>
      <c r="S52" s="147">
        <v>1745.97</v>
      </c>
    </row>
    <row r="53" spans="1:19" customFormat="1" x14ac:dyDescent="0.25">
      <c r="A53" s="146" t="s">
        <v>344</v>
      </c>
      <c r="B53" s="146" t="s">
        <v>345</v>
      </c>
      <c r="C53" s="146">
        <v>4</v>
      </c>
      <c r="D53" s="146">
        <v>9</v>
      </c>
      <c r="E53" s="146" t="s">
        <v>21</v>
      </c>
      <c r="F53" s="146">
        <v>28</v>
      </c>
      <c r="G53" s="147">
        <v>347.29</v>
      </c>
      <c r="H53" s="147">
        <v>670.07</v>
      </c>
      <c r="I53" s="147">
        <v>0</v>
      </c>
      <c r="J53" s="147">
        <v>0</v>
      </c>
      <c r="K53" s="147">
        <v>68.069999999999993</v>
      </c>
      <c r="L53" s="147">
        <v>24.31</v>
      </c>
      <c r="M53" s="147">
        <v>102.1</v>
      </c>
      <c r="N53" s="147">
        <v>36.47</v>
      </c>
      <c r="O53" s="147">
        <v>52.99</v>
      </c>
      <c r="P53" s="147">
        <v>170.17</v>
      </c>
      <c r="Q53" s="147">
        <v>60.78</v>
      </c>
      <c r="R53" s="147">
        <v>97.24</v>
      </c>
      <c r="S53" s="147">
        <v>1282.2</v>
      </c>
    </row>
    <row r="54" spans="1:19" customFormat="1" x14ac:dyDescent="0.25">
      <c r="A54" s="146" t="s">
        <v>346</v>
      </c>
      <c r="B54" s="146" t="s">
        <v>347</v>
      </c>
      <c r="C54" s="146">
        <v>4</v>
      </c>
      <c r="D54" s="146">
        <v>9</v>
      </c>
      <c r="E54" s="146" t="s">
        <v>21</v>
      </c>
      <c r="F54" s="146">
        <v>28</v>
      </c>
      <c r="G54" s="147">
        <v>356.04</v>
      </c>
      <c r="H54" s="147">
        <v>670.07</v>
      </c>
      <c r="I54" s="147">
        <v>1.27</v>
      </c>
      <c r="J54" s="147">
        <v>0.46</v>
      </c>
      <c r="K54" s="147">
        <v>69.78</v>
      </c>
      <c r="L54" s="147">
        <v>24.92</v>
      </c>
      <c r="M54" s="147">
        <v>104.68</v>
      </c>
      <c r="N54" s="147">
        <v>37.380000000000003</v>
      </c>
      <c r="O54" s="147">
        <v>54.32</v>
      </c>
      <c r="P54" s="147">
        <v>174.46</v>
      </c>
      <c r="Q54" s="147">
        <v>62.31</v>
      </c>
      <c r="R54" s="147">
        <v>99.69</v>
      </c>
      <c r="S54" s="147">
        <v>1299.3399999999999</v>
      </c>
    </row>
    <row r="55" spans="1:19" customFormat="1" x14ac:dyDescent="0.25">
      <c r="A55" s="146" t="s">
        <v>60</v>
      </c>
      <c r="B55" s="146" t="s">
        <v>348</v>
      </c>
      <c r="C55" s="146">
        <v>4</v>
      </c>
      <c r="D55" s="146">
        <v>9</v>
      </c>
      <c r="E55" s="146" t="s">
        <v>21</v>
      </c>
      <c r="F55" s="146">
        <v>28</v>
      </c>
      <c r="G55" s="147">
        <v>827.36</v>
      </c>
      <c r="H55" s="147">
        <v>670.07</v>
      </c>
      <c r="I55" s="147">
        <v>146.43</v>
      </c>
      <c r="J55" s="147">
        <v>53.25</v>
      </c>
      <c r="K55" s="147">
        <v>162.16</v>
      </c>
      <c r="L55" s="147">
        <v>57.92</v>
      </c>
      <c r="M55" s="147">
        <v>243.24</v>
      </c>
      <c r="N55" s="147">
        <v>86.87</v>
      </c>
      <c r="O55" s="147">
        <v>126.23</v>
      </c>
      <c r="P55" s="147">
        <v>405.41</v>
      </c>
      <c r="Q55" s="147">
        <v>144.79</v>
      </c>
      <c r="R55" s="147">
        <v>231.66</v>
      </c>
      <c r="S55" s="147">
        <v>2328.0300000000002</v>
      </c>
    </row>
    <row r="56" spans="1:19" customFormat="1" x14ac:dyDescent="0.25">
      <c r="A56" s="146" t="s">
        <v>61</v>
      </c>
      <c r="B56" s="146" t="s">
        <v>349</v>
      </c>
      <c r="C56" s="146">
        <v>4</v>
      </c>
      <c r="D56" s="146">
        <v>9</v>
      </c>
      <c r="E56" s="146" t="s">
        <v>21</v>
      </c>
      <c r="F56" s="146">
        <v>28</v>
      </c>
      <c r="G56" s="147">
        <v>426.35</v>
      </c>
      <c r="H56" s="147">
        <v>670.07</v>
      </c>
      <c r="I56" s="147">
        <v>22.92</v>
      </c>
      <c r="J56" s="147">
        <v>8.34</v>
      </c>
      <c r="K56" s="147">
        <v>83.56</v>
      </c>
      <c r="L56" s="147">
        <v>29.84</v>
      </c>
      <c r="M56" s="147">
        <v>125.35</v>
      </c>
      <c r="N56" s="147">
        <v>44.77</v>
      </c>
      <c r="O56" s="147">
        <v>65.05</v>
      </c>
      <c r="P56" s="147">
        <v>208.91</v>
      </c>
      <c r="Q56" s="147">
        <v>74.61</v>
      </c>
      <c r="R56" s="147">
        <v>119.38</v>
      </c>
      <c r="S56" s="147">
        <v>1452.8</v>
      </c>
    </row>
    <row r="57" spans="1:19" customFormat="1" x14ac:dyDescent="0.25">
      <c r="A57" s="146" t="s">
        <v>62</v>
      </c>
      <c r="B57" s="146" t="s">
        <v>350</v>
      </c>
      <c r="C57" s="146">
        <v>4</v>
      </c>
      <c r="D57" s="146">
        <v>9</v>
      </c>
      <c r="E57" s="146" t="s">
        <v>21</v>
      </c>
      <c r="F57" s="146">
        <v>28</v>
      </c>
      <c r="G57" s="147">
        <v>561.26</v>
      </c>
      <c r="H57" s="147">
        <v>670.07</v>
      </c>
      <c r="I57" s="147">
        <v>64.47</v>
      </c>
      <c r="J57" s="147">
        <v>23.44</v>
      </c>
      <c r="K57" s="147">
        <v>110.01</v>
      </c>
      <c r="L57" s="147">
        <v>39.29</v>
      </c>
      <c r="M57" s="147">
        <v>165.01</v>
      </c>
      <c r="N57" s="147">
        <v>58.93</v>
      </c>
      <c r="O57" s="147">
        <v>85.63</v>
      </c>
      <c r="P57" s="147">
        <v>275.02</v>
      </c>
      <c r="Q57" s="147">
        <v>98.22</v>
      </c>
      <c r="R57" s="147">
        <v>157.15</v>
      </c>
      <c r="S57" s="147">
        <v>1747.24</v>
      </c>
    </row>
    <row r="58" spans="1:19" customFormat="1" x14ac:dyDescent="0.25">
      <c r="A58" s="146" t="s">
        <v>63</v>
      </c>
      <c r="B58" s="146" t="s">
        <v>351</v>
      </c>
      <c r="C58" s="146">
        <v>4</v>
      </c>
      <c r="D58" s="146">
        <v>9</v>
      </c>
      <c r="E58" s="146" t="s">
        <v>21</v>
      </c>
      <c r="F58" s="146">
        <v>28</v>
      </c>
      <c r="G58" s="147">
        <v>497.48</v>
      </c>
      <c r="H58" s="147">
        <v>670.07</v>
      </c>
      <c r="I58" s="147">
        <v>44.83</v>
      </c>
      <c r="J58" s="147">
        <v>16.3</v>
      </c>
      <c r="K58" s="147">
        <v>97.51</v>
      </c>
      <c r="L58" s="147">
        <v>34.82</v>
      </c>
      <c r="M58" s="147">
        <v>146.26</v>
      </c>
      <c r="N58" s="147">
        <v>52.24</v>
      </c>
      <c r="O58" s="147">
        <v>75.900000000000006</v>
      </c>
      <c r="P58" s="147">
        <v>243.77</v>
      </c>
      <c r="Q58" s="147">
        <v>87.06</v>
      </c>
      <c r="R58" s="147">
        <v>139.29</v>
      </c>
      <c r="S58" s="147">
        <v>1608.05</v>
      </c>
    </row>
    <row r="59" spans="1:19" customFormat="1" x14ac:dyDescent="0.25">
      <c r="A59" s="146" t="s">
        <v>64</v>
      </c>
      <c r="B59" s="146" t="s">
        <v>352</v>
      </c>
      <c r="C59" s="146">
        <v>4</v>
      </c>
      <c r="D59" s="146">
        <v>9</v>
      </c>
      <c r="E59" s="146" t="s">
        <v>21</v>
      </c>
      <c r="F59" s="146">
        <v>28</v>
      </c>
      <c r="G59" s="147">
        <v>632.26</v>
      </c>
      <c r="H59" s="147">
        <v>670.07</v>
      </c>
      <c r="I59" s="147">
        <v>86.34</v>
      </c>
      <c r="J59" s="147">
        <v>31.4</v>
      </c>
      <c r="K59" s="147">
        <v>123.92</v>
      </c>
      <c r="L59" s="147">
        <v>44.26</v>
      </c>
      <c r="M59" s="147">
        <v>185.88</v>
      </c>
      <c r="N59" s="147">
        <v>66.39</v>
      </c>
      <c r="O59" s="147">
        <v>96.47</v>
      </c>
      <c r="P59" s="147">
        <v>309.81</v>
      </c>
      <c r="Q59" s="147">
        <v>110.65</v>
      </c>
      <c r="R59" s="147">
        <v>177.03</v>
      </c>
      <c r="S59" s="147">
        <v>1902.22</v>
      </c>
    </row>
    <row r="60" spans="1:19" customFormat="1" x14ac:dyDescent="0.25">
      <c r="A60" s="146" t="s">
        <v>65</v>
      </c>
      <c r="B60" s="146" t="s">
        <v>353</v>
      </c>
      <c r="C60" s="146">
        <v>4</v>
      </c>
      <c r="D60" s="146">
        <v>9</v>
      </c>
      <c r="E60" s="146" t="s">
        <v>21</v>
      </c>
      <c r="F60" s="146">
        <v>28</v>
      </c>
      <c r="G60" s="147">
        <v>438.51</v>
      </c>
      <c r="H60" s="147">
        <v>670.07</v>
      </c>
      <c r="I60" s="147">
        <v>26.67</v>
      </c>
      <c r="J60" s="147">
        <v>9.6999999999999993</v>
      </c>
      <c r="K60" s="147">
        <v>85.95</v>
      </c>
      <c r="L60" s="147">
        <v>30.7</v>
      </c>
      <c r="M60" s="147">
        <v>128.91999999999999</v>
      </c>
      <c r="N60" s="147">
        <v>46.04</v>
      </c>
      <c r="O60" s="147">
        <v>66.91</v>
      </c>
      <c r="P60" s="147">
        <v>214.87</v>
      </c>
      <c r="Q60" s="147">
        <v>76.739999999999995</v>
      </c>
      <c r="R60" s="147">
        <v>122.78</v>
      </c>
      <c r="S60" s="147">
        <v>1479.35</v>
      </c>
    </row>
    <row r="61" spans="1:19" customFormat="1" x14ac:dyDescent="0.25">
      <c r="A61" s="146" t="s">
        <v>66</v>
      </c>
      <c r="B61" s="146" t="s">
        <v>354</v>
      </c>
      <c r="C61" s="146">
        <v>1</v>
      </c>
      <c r="D61" s="146">
        <v>9</v>
      </c>
      <c r="E61" s="146" t="s">
        <v>21</v>
      </c>
      <c r="F61" s="146">
        <v>28</v>
      </c>
      <c r="G61" s="147">
        <v>330.57</v>
      </c>
      <c r="H61" s="147">
        <v>670.07</v>
      </c>
      <c r="I61" s="147">
        <v>0</v>
      </c>
      <c r="J61" s="147">
        <v>0</v>
      </c>
      <c r="K61" s="147">
        <v>64.790000000000006</v>
      </c>
      <c r="L61" s="147">
        <v>23.14</v>
      </c>
      <c r="M61" s="147">
        <v>97.19</v>
      </c>
      <c r="N61" s="147">
        <v>34.71</v>
      </c>
      <c r="O61" s="147">
        <v>50.44</v>
      </c>
      <c r="P61" s="147">
        <v>161.97999999999999</v>
      </c>
      <c r="Q61" s="147">
        <v>57.85</v>
      </c>
      <c r="R61" s="147">
        <v>92.56</v>
      </c>
      <c r="S61" s="147">
        <v>1252.73</v>
      </c>
    </row>
    <row r="62" spans="1:19" customFormat="1" x14ac:dyDescent="0.25">
      <c r="A62" s="146" t="s">
        <v>355</v>
      </c>
      <c r="B62" s="146" t="s">
        <v>356</v>
      </c>
      <c r="C62" s="146">
        <v>4</v>
      </c>
      <c r="D62" s="146">
        <v>9</v>
      </c>
      <c r="E62" s="146" t="s">
        <v>21</v>
      </c>
      <c r="F62" s="146">
        <v>28</v>
      </c>
      <c r="G62" s="147">
        <v>525.91</v>
      </c>
      <c r="H62" s="147">
        <v>670.07</v>
      </c>
      <c r="I62" s="147">
        <v>53.59</v>
      </c>
      <c r="J62" s="147">
        <v>19.489999999999998</v>
      </c>
      <c r="K62" s="147">
        <v>103.08</v>
      </c>
      <c r="L62" s="147">
        <v>36.81</v>
      </c>
      <c r="M62" s="147">
        <v>154.62</v>
      </c>
      <c r="N62" s="147">
        <v>55.22</v>
      </c>
      <c r="O62" s="147">
        <v>80.239999999999995</v>
      </c>
      <c r="P62" s="147">
        <v>257.7</v>
      </c>
      <c r="Q62" s="147">
        <v>92.03</v>
      </c>
      <c r="R62" s="147">
        <v>147.25</v>
      </c>
      <c r="S62" s="147">
        <v>1670.1</v>
      </c>
    </row>
    <row r="63" spans="1:19" customFormat="1" x14ac:dyDescent="0.25">
      <c r="A63" s="146" t="s">
        <v>357</v>
      </c>
      <c r="B63" s="146" t="s">
        <v>358</v>
      </c>
      <c r="C63" s="146">
        <v>4</v>
      </c>
      <c r="D63" s="146">
        <v>9</v>
      </c>
      <c r="E63" s="146" t="s">
        <v>21</v>
      </c>
      <c r="F63" s="146">
        <v>28</v>
      </c>
      <c r="G63" s="147">
        <v>570.19000000000005</v>
      </c>
      <c r="H63" s="147">
        <v>670.07</v>
      </c>
      <c r="I63" s="147">
        <v>67.22</v>
      </c>
      <c r="J63" s="147">
        <v>24.45</v>
      </c>
      <c r="K63" s="147">
        <v>111.76</v>
      </c>
      <c r="L63" s="147">
        <v>39.909999999999997</v>
      </c>
      <c r="M63" s="147">
        <v>167.64</v>
      </c>
      <c r="N63" s="147">
        <v>59.87</v>
      </c>
      <c r="O63" s="147">
        <v>87</v>
      </c>
      <c r="P63" s="147">
        <v>279.39</v>
      </c>
      <c r="Q63" s="147">
        <v>99.78</v>
      </c>
      <c r="R63" s="147">
        <v>159.65</v>
      </c>
      <c r="S63" s="147">
        <v>1766.74</v>
      </c>
    </row>
    <row r="64" spans="1:19" customFormat="1" x14ac:dyDescent="0.25">
      <c r="A64" s="146" t="s">
        <v>359</v>
      </c>
      <c r="B64" s="146" t="s">
        <v>360</v>
      </c>
      <c r="C64" s="146">
        <v>4</v>
      </c>
      <c r="D64" s="146">
        <v>9</v>
      </c>
      <c r="E64" s="146" t="s">
        <v>21</v>
      </c>
      <c r="F64" s="146">
        <v>28</v>
      </c>
      <c r="G64" s="147">
        <v>330.58</v>
      </c>
      <c r="H64" s="147">
        <v>670.07</v>
      </c>
      <c r="I64" s="147">
        <v>0</v>
      </c>
      <c r="J64" s="147">
        <v>0</v>
      </c>
      <c r="K64" s="147">
        <v>64.790000000000006</v>
      </c>
      <c r="L64" s="147">
        <v>23.14</v>
      </c>
      <c r="M64" s="147">
        <v>97.19</v>
      </c>
      <c r="N64" s="147">
        <v>34.71</v>
      </c>
      <c r="O64" s="147">
        <v>50.44</v>
      </c>
      <c r="P64" s="147">
        <v>161.97999999999999</v>
      </c>
      <c r="Q64" s="147">
        <v>57.85</v>
      </c>
      <c r="R64" s="147">
        <v>92.56</v>
      </c>
      <c r="S64" s="147">
        <v>1252.73</v>
      </c>
    </row>
    <row r="65" spans="1:19" customFormat="1" x14ac:dyDescent="0.25">
      <c r="A65" s="146" t="s">
        <v>67</v>
      </c>
      <c r="B65" s="146" t="s">
        <v>361</v>
      </c>
      <c r="C65" s="146">
        <v>4</v>
      </c>
      <c r="D65" s="146">
        <v>9</v>
      </c>
      <c r="E65" s="146" t="s">
        <v>21</v>
      </c>
      <c r="F65" s="146">
        <v>28</v>
      </c>
      <c r="G65" s="147">
        <v>641.14</v>
      </c>
      <c r="H65" s="147">
        <v>670.07</v>
      </c>
      <c r="I65" s="147">
        <v>89.08</v>
      </c>
      <c r="J65" s="147">
        <v>32.39</v>
      </c>
      <c r="K65" s="147">
        <v>125.66</v>
      </c>
      <c r="L65" s="147">
        <v>44.88</v>
      </c>
      <c r="M65" s="147">
        <v>188.5</v>
      </c>
      <c r="N65" s="147">
        <v>67.319999999999993</v>
      </c>
      <c r="O65" s="147">
        <v>97.82</v>
      </c>
      <c r="P65" s="147">
        <v>314.16000000000003</v>
      </c>
      <c r="Q65" s="147">
        <v>112.2</v>
      </c>
      <c r="R65" s="147">
        <v>179.52</v>
      </c>
      <c r="S65" s="147">
        <v>1921.6</v>
      </c>
    </row>
    <row r="66" spans="1:19" customFormat="1" x14ac:dyDescent="0.25">
      <c r="A66" s="146" t="s">
        <v>68</v>
      </c>
      <c r="B66" s="146" t="s">
        <v>362</v>
      </c>
      <c r="C66" s="146">
        <v>4</v>
      </c>
      <c r="D66" s="146">
        <v>9</v>
      </c>
      <c r="E66" s="146" t="s">
        <v>21</v>
      </c>
      <c r="F66" s="146">
        <v>28</v>
      </c>
      <c r="G66" s="147">
        <v>1522.72</v>
      </c>
      <c r="H66" s="147">
        <v>670.07</v>
      </c>
      <c r="I66" s="147">
        <v>360.6</v>
      </c>
      <c r="J66" s="147">
        <v>131.13</v>
      </c>
      <c r="K66" s="147">
        <v>298.45</v>
      </c>
      <c r="L66" s="147">
        <v>106.59</v>
      </c>
      <c r="M66" s="147">
        <v>447.68</v>
      </c>
      <c r="N66" s="147">
        <v>159.88999999999999</v>
      </c>
      <c r="O66" s="147">
        <v>232.33</v>
      </c>
      <c r="P66" s="147">
        <v>746.13</v>
      </c>
      <c r="Q66" s="147">
        <v>266.48</v>
      </c>
      <c r="R66" s="147">
        <v>426.36</v>
      </c>
      <c r="S66" s="147">
        <v>3845.71</v>
      </c>
    </row>
    <row r="67" spans="1:19" customFormat="1" x14ac:dyDescent="0.25">
      <c r="A67" s="146" t="s">
        <v>69</v>
      </c>
      <c r="B67" s="146" t="s">
        <v>363</v>
      </c>
      <c r="C67" s="146">
        <v>4</v>
      </c>
      <c r="D67" s="146">
        <v>9</v>
      </c>
      <c r="E67" s="146" t="s">
        <v>21</v>
      </c>
      <c r="F67" s="146">
        <v>28</v>
      </c>
      <c r="G67" s="147">
        <v>618.53</v>
      </c>
      <c r="H67" s="147">
        <v>670.07</v>
      </c>
      <c r="I67" s="147">
        <v>82.11</v>
      </c>
      <c r="J67" s="147">
        <v>29.86</v>
      </c>
      <c r="K67" s="147">
        <v>121.23</v>
      </c>
      <c r="L67" s="147">
        <v>43.3</v>
      </c>
      <c r="M67" s="147">
        <v>181.85</v>
      </c>
      <c r="N67" s="147">
        <v>64.95</v>
      </c>
      <c r="O67" s="147">
        <v>94.37</v>
      </c>
      <c r="P67" s="147">
        <v>303.08</v>
      </c>
      <c r="Q67" s="147">
        <v>108.24</v>
      </c>
      <c r="R67" s="147">
        <v>173.19</v>
      </c>
      <c r="S67" s="147">
        <v>1872.25</v>
      </c>
    </row>
    <row r="68" spans="1:19" customFormat="1" x14ac:dyDescent="0.25">
      <c r="A68" s="146" t="s">
        <v>70</v>
      </c>
      <c r="B68" s="146" t="s">
        <v>364</v>
      </c>
      <c r="C68" s="146">
        <v>1</v>
      </c>
      <c r="D68" s="146">
        <v>9</v>
      </c>
      <c r="E68" s="146" t="s">
        <v>21</v>
      </c>
      <c r="F68" s="146">
        <v>28</v>
      </c>
      <c r="G68" s="147">
        <v>330.57</v>
      </c>
      <c r="H68" s="147">
        <v>670.07</v>
      </c>
      <c r="I68" s="147">
        <v>0</v>
      </c>
      <c r="J68" s="147">
        <v>0</v>
      </c>
      <c r="K68" s="147">
        <v>64.790000000000006</v>
      </c>
      <c r="L68" s="147">
        <v>23.14</v>
      </c>
      <c r="M68" s="147">
        <v>97.19</v>
      </c>
      <c r="N68" s="147">
        <v>34.71</v>
      </c>
      <c r="O68" s="147">
        <v>50.44</v>
      </c>
      <c r="P68" s="147">
        <v>161.97999999999999</v>
      </c>
      <c r="Q68" s="147">
        <v>57.85</v>
      </c>
      <c r="R68" s="147">
        <v>92.56</v>
      </c>
      <c r="S68" s="147">
        <v>1252.73</v>
      </c>
    </row>
    <row r="69" spans="1:19" customFormat="1" x14ac:dyDescent="0.25">
      <c r="A69" s="146" t="s">
        <v>71</v>
      </c>
      <c r="B69" s="146" t="s">
        <v>365</v>
      </c>
      <c r="C69" s="146">
        <v>4</v>
      </c>
      <c r="D69" s="146">
        <v>9</v>
      </c>
      <c r="E69" s="146" t="s">
        <v>21</v>
      </c>
      <c r="F69" s="146">
        <v>28</v>
      </c>
      <c r="G69" s="147">
        <v>492.57</v>
      </c>
      <c r="H69" s="147">
        <v>670.07</v>
      </c>
      <c r="I69" s="147">
        <v>43.32</v>
      </c>
      <c r="J69" s="147">
        <v>15.75</v>
      </c>
      <c r="K69" s="147">
        <v>96.54</v>
      </c>
      <c r="L69" s="147">
        <v>34.479999999999997</v>
      </c>
      <c r="M69" s="147">
        <v>144.82</v>
      </c>
      <c r="N69" s="147">
        <v>51.72</v>
      </c>
      <c r="O69" s="147">
        <v>75.150000000000006</v>
      </c>
      <c r="P69" s="147">
        <v>241.36</v>
      </c>
      <c r="Q69" s="147">
        <v>86.2</v>
      </c>
      <c r="R69" s="147">
        <v>137.91999999999999</v>
      </c>
      <c r="S69" s="147">
        <v>1597.33</v>
      </c>
    </row>
    <row r="70" spans="1:19" customFormat="1" x14ac:dyDescent="0.25">
      <c r="A70" s="146" t="s">
        <v>72</v>
      </c>
      <c r="B70" s="146" t="s">
        <v>366</v>
      </c>
      <c r="C70" s="146">
        <v>4</v>
      </c>
      <c r="D70" s="146">
        <v>9</v>
      </c>
      <c r="E70" s="146" t="s">
        <v>21</v>
      </c>
      <c r="F70" s="146">
        <v>28</v>
      </c>
      <c r="G70" s="147">
        <v>1435.59</v>
      </c>
      <c r="H70" s="147">
        <v>670.07</v>
      </c>
      <c r="I70" s="147">
        <v>333.77</v>
      </c>
      <c r="J70" s="147">
        <v>121.37</v>
      </c>
      <c r="K70" s="147">
        <v>281.38</v>
      </c>
      <c r="L70" s="147">
        <v>100.49</v>
      </c>
      <c r="M70" s="147">
        <v>422.06</v>
      </c>
      <c r="N70" s="147">
        <v>150.74</v>
      </c>
      <c r="O70" s="147">
        <v>219.03</v>
      </c>
      <c r="P70" s="147">
        <v>703.44</v>
      </c>
      <c r="Q70" s="147">
        <v>251.23</v>
      </c>
      <c r="R70" s="147">
        <v>401.97</v>
      </c>
      <c r="S70" s="147">
        <v>3655.55</v>
      </c>
    </row>
    <row r="71" spans="1:19" customFormat="1" x14ac:dyDescent="0.25">
      <c r="A71" s="146" t="s">
        <v>73</v>
      </c>
      <c r="B71" s="146" t="s">
        <v>367</v>
      </c>
      <c r="C71" s="146">
        <v>4</v>
      </c>
      <c r="D71" s="146">
        <v>9</v>
      </c>
      <c r="E71" s="146" t="s">
        <v>21</v>
      </c>
      <c r="F71" s="146">
        <v>28</v>
      </c>
      <c r="G71" s="147">
        <v>552.76</v>
      </c>
      <c r="H71" s="147">
        <v>670.07</v>
      </c>
      <c r="I71" s="147">
        <v>61.86</v>
      </c>
      <c r="J71" s="147">
        <v>22.49</v>
      </c>
      <c r="K71" s="147">
        <v>108.34</v>
      </c>
      <c r="L71" s="147">
        <v>38.69</v>
      </c>
      <c r="M71" s="147">
        <v>162.51</v>
      </c>
      <c r="N71" s="147">
        <v>58.04</v>
      </c>
      <c r="O71" s="147">
        <v>84.34</v>
      </c>
      <c r="P71" s="147">
        <v>270.85000000000002</v>
      </c>
      <c r="Q71" s="147">
        <v>96.73</v>
      </c>
      <c r="R71" s="147">
        <v>154.77000000000001</v>
      </c>
      <c r="S71" s="147">
        <v>1728.69</v>
      </c>
    </row>
    <row r="72" spans="1:19" customFormat="1" x14ac:dyDescent="0.25">
      <c r="A72" s="146" t="s">
        <v>74</v>
      </c>
      <c r="B72" s="146" t="s">
        <v>368</v>
      </c>
      <c r="C72" s="146">
        <v>4</v>
      </c>
      <c r="D72" s="146">
        <v>9</v>
      </c>
      <c r="E72" s="146" t="s">
        <v>21</v>
      </c>
      <c r="F72" s="146">
        <v>28</v>
      </c>
      <c r="G72" s="147">
        <v>1087.07</v>
      </c>
      <c r="H72" s="147">
        <v>670.07</v>
      </c>
      <c r="I72" s="147">
        <v>226.42</v>
      </c>
      <c r="J72" s="147">
        <v>82.34</v>
      </c>
      <c r="K72" s="147">
        <v>213.07</v>
      </c>
      <c r="L72" s="147">
        <v>76.09</v>
      </c>
      <c r="M72" s="147">
        <v>319.60000000000002</v>
      </c>
      <c r="N72" s="147">
        <v>114.14</v>
      </c>
      <c r="O72" s="147">
        <v>165.86</v>
      </c>
      <c r="P72" s="147">
        <v>532.66</v>
      </c>
      <c r="Q72" s="147">
        <v>190.24</v>
      </c>
      <c r="R72" s="147">
        <v>304.38</v>
      </c>
      <c r="S72" s="147">
        <v>2894.87</v>
      </c>
    </row>
    <row r="73" spans="1:19" customFormat="1" x14ac:dyDescent="0.25">
      <c r="A73" s="146" t="s">
        <v>75</v>
      </c>
      <c r="B73" s="146" t="s">
        <v>369</v>
      </c>
      <c r="C73" s="146">
        <v>4</v>
      </c>
      <c r="D73" s="146">
        <v>9</v>
      </c>
      <c r="E73" s="146" t="s">
        <v>21</v>
      </c>
      <c r="F73" s="146">
        <v>28</v>
      </c>
      <c r="G73" s="147">
        <v>430.06</v>
      </c>
      <c r="H73" s="147">
        <v>670.07</v>
      </c>
      <c r="I73" s="147">
        <v>24.06</v>
      </c>
      <c r="J73" s="147">
        <v>8.75</v>
      </c>
      <c r="K73" s="147">
        <v>84.29</v>
      </c>
      <c r="L73" s="147">
        <v>30.1</v>
      </c>
      <c r="M73" s="147">
        <v>126.44</v>
      </c>
      <c r="N73" s="147">
        <v>45.16</v>
      </c>
      <c r="O73" s="147">
        <v>65.62</v>
      </c>
      <c r="P73" s="147">
        <v>210.73</v>
      </c>
      <c r="Q73" s="147">
        <v>75.260000000000005</v>
      </c>
      <c r="R73" s="147">
        <v>120.42</v>
      </c>
      <c r="S73" s="147">
        <v>1460.9</v>
      </c>
    </row>
    <row r="74" spans="1:19" customFormat="1" x14ac:dyDescent="0.25">
      <c r="A74" s="146" t="s">
        <v>76</v>
      </c>
      <c r="B74" s="146" t="s">
        <v>370</v>
      </c>
      <c r="C74" s="146">
        <v>4</v>
      </c>
      <c r="D74" s="146">
        <v>9</v>
      </c>
      <c r="E74" s="146" t="s">
        <v>21</v>
      </c>
      <c r="F74" s="146">
        <v>28</v>
      </c>
      <c r="G74" s="147">
        <v>552.76</v>
      </c>
      <c r="H74" s="147">
        <v>670.07</v>
      </c>
      <c r="I74" s="147">
        <v>61.86</v>
      </c>
      <c r="J74" s="147">
        <v>22.49</v>
      </c>
      <c r="K74" s="147">
        <v>108.34</v>
      </c>
      <c r="L74" s="147">
        <v>38.69</v>
      </c>
      <c r="M74" s="147">
        <v>162.51</v>
      </c>
      <c r="N74" s="147">
        <v>58.04</v>
      </c>
      <c r="O74" s="147">
        <v>84.34</v>
      </c>
      <c r="P74" s="147">
        <v>270.85000000000002</v>
      </c>
      <c r="Q74" s="147">
        <v>96.73</v>
      </c>
      <c r="R74" s="147">
        <v>154.77000000000001</v>
      </c>
      <c r="S74" s="147">
        <v>1728.69</v>
      </c>
    </row>
    <row r="75" spans="1:19" customFormat="1" x14ac:dyDescent="0.25">
      <c r="A75" s="146" t="s">
        <v>77</v>
      </c>
      <c r="B75" s="146" t="s">
        <v>371</v>
      </c>
      <c r="C75" s="146">
        <v>4</v>
      </c>
      <c r="D75" s="146">
        <v>9</v>
      </c>
      <c r="E75" s="146" t="s">
        <v>21</v>
      </c>
      <c r="F75" s="146">
        <v>28</v>
      </c>
      <c r="G75" s="147">
        <v>967.81</v>
      </c>
      <c r="H75" s="147">
        <v>670.07</v>
      </c>
      <c r="I75" s="147">
        <v>189.69</v>
      </c>
      <c r="J75" s="147">
        <v>68.98</v>
      </c>
      <c r="K75" s="147">
        <v>189.69</v>
      </c>
      <c r="L75" s="147">
        <v>67.75</v>
      </c>
      <c r="M75" s="147">
        <v>284.54000000000002</v>
      </c>
      <c r="N75" s="147">
        <v>101.62</v>
      </c>
      <c r="O75" s="147">
        <v>147.66</v>
      </c>
      <c r="P75" s="147">
        <v>474.23</v>
      </c>
      <c r="Q75" s="147">
        <v>169.37</v>
      </c>
      <c r="R75" s="147">
        <v>270.99</v>
      </c>
      <c r="S75" s="147">
        <v>2634.59</v>
      </c>
    </row>
    <row r="76" spans="1:19" customFormat="1" x14ac:dyDescent="0.25">
      <c r="A76" s="146" t="s">
        <v>78</v>
      </c>
      <c r="B76" s="146" t="s">
        <v>372</v>
      </c>
      <c r="C76" s="146">
        <v>4</v>
      </c>
      <c r="D76" s="146">
        <v>9</v>
      </c>
      <c r="E76" s="146" t="s">
        <v>21</v>
      </c>
      <c r="F76" s="146">
        <v>28</v>
      </c>
      <c r="G76" s="147">
        <v>459.18</v>
      </c>
      <c r="H76" s="147">
        <v>670.07</v>
      </c>
      <c r="I76" s="147">
        <v>33.03</v>
      </c>
      <c r="J76" s="147">
        <v>12.01</v>
      </c>
      <c r="K76" s="147">
        <v>90</v>
      </c>
      <c r="L76" s="147">
        <v>32.14</v>
      </c>
      <c r="M76" s="147">
        <v>135</v>
      </c>
      <c r="N76" s="147">
        <v>48.21</v>
      </c>
      <c r="O76" s="147">
        <v>70.06</v>
      </c>
      <c r="P76" s="147">
        <v>225</v>
      </c>
      <c r="Q76" s="147">
        <v>80.36</v>
      </c>
      <c r="R76" s="147">
        <v>128.57</v>
      </c>
      <c r="S76" s="147">
        <v>1524.45</v>
      </c>
    </row>
    <row r="77" spans="1:19" customFormat="1" x14ac:dyDescent="0.25">
      <c r="A77" s="146" t="s">
        <v>79</v>
      </c>
      <c r="B77" s="146" t="s">
        <v>373</v>
      </c>
      <c r="C77" s="146">
        <v>4</v>
      </c>
      <c r="D77" s="146">
        <v>9</v>
      </c>
      <c r="E77" s="146" t="s">
        <v>21</v>
      </c>
      <c r="F77" s="146">
        <v>28</v>
      </c>
      <c r="G77" s="147">
        <v>799.67</v>
      </c>
      <c r="H77" s="147">
        <v>670.07</v>
      </c>
      <c r="I77" s="147">
        <v>137.9</v>
      </c>
      <c r="J77" s="147">
        <v>50.15</v>
      </c>
      <c r="K77" s="147">
        <v>156.74</v>
      </c>
      <c r="L77" s="147">
        <v>55.98</v>
      </c>
      <c r="M77" s="147">
        <v>235.1</v>
      </c>
      <c r="N77" s="147">
        <v>83.97</v>
      </c>
      <c r="O77" s="147">
        <v>122.01</v>
      </c>
      <c r="P77" s="147">
        <v>391.84</v>
      </c>
      <c r="Q77" s="147">
        <v>139.94</v>
      </c>
      <c r="R77" s="147">
        <v>223.91</v>
      </c>
      <c r="S77" s="147">
        <v>2267.61</v>
      </c>
    </row>
    <row r="78" spans="1:19" customFormat="1" x14ac:dyDescent="0.25">
      <c r="A78" s="146" t="s">
        <v>80</v>
      </c>
      <c r="B78" s="146" t="s">
        <v>374</v>
      </c>
      <c r="C78" s="146">
        <v>4</v>
      </c>
      <c r="D78" s="146">
        <v>9</v>
      </c>
      <c r="E78" s="146" t="s">
        <v>21</v>
      </c>
      <c r="F78" s="146">
        <v>28</v>
      </c>
      <c r="G78" s="147">
        <v>489.76</v>
      </c>
      <c r="H78" s="147">
        <v>670.07</v>
      </c>
      <c r="I78" s="147">
        <v>42.45</v>
      </c>
      <c r="J78" s="147">
        <v>15.44</v>
      </c>
      <c r="K78" s="147">
        <v>95.99</v>
      </c>
      <c r="L78" s="147">
        <v>34.28</v>
      </c>
      <c r="M78" s="147">
        <v>143.99</v>
      </c>
      <c r="N78" s="147">
        <v>51.42</v>
      </c>
      <c r="O78" s="147">
        <v>74.73</v>
      </c>
      <c r="P78" s="147">
        <v>239.98</v>
      </c>
      <c r="Q78" s="147">
        <v>85.71</v>
      </c>
      <c r="R78" s="147">
        <v>137.13</v>
      </c>
      <c r="S78" s="147">
        <v>1591.19</v>
      </c>
    </row>
    <row r="79" spans="1:19" customFormat="1" x14ac:dyDescent="0.25">
      <c r="A79" s="146" t="s">
        <v>82</v>
      </c>
      <c r="B79" s="146" t="s">
        <v>375</v>
      </c>
      <c r="C79" s="146">
        <v>1</v>
      </c>
      <c r="D79" s="146">
        <v>9</v>
      </c>
      <c r="E79" s="146" t="s">
        <v>21</v>
      </c>
      <c r="F79" s="146">
        <v>28</v>
      </c>
      <c r="G79" s="147">
        <v>330.57</v>
      </c>
      <c r="H79" s="147">
        <v>670.07</v>
      </c>
      <c r="I79" s="147">
        <v>0</v>
      </c>
      <c r="J79" s="147">
        <v>0</v>
      </c>
      <c r="K79" s="147">
        <v>64.790000000000006</v>
      </c>
      <c r="L79" s="147">
        <v>23.14</v>
      </c>
      <c r="M79" s="147">
        <v>97.19</v>
      </c>
      <c r="N79" s="147">
        <v>34.71</v>
      </c>
      <c r="O79" s="147">
        <v>50.44</v>
      </c>
      <c r="P79" s="147">
        <v>161.97999999999999</v>
      </c>
      <c r="Q79" s="147">
        <v>57.85</v>
      </c>
      <c r="R79" s="147">
        <v>92.56</v>
      </c>
      <c r="S79" s="147">
        <v>1252.73</v>
      </c>
    </row>
    <row r="80" spans="1:19" customFormat="1" x14ac:dyDescent="0.25">
      <c r="A80" s="146" t="s">
        <v>83</v>
      </c>
      <c r="B80" s="146" t="s">
        <v>376</v>
      </c>
      <c r="C80" s="146">
        <v>4</v>
      </c>
      <c r="D80" s="146">
        <v>9</v>
      </c>
      <c r="E80" s="146" t="s">
        <v>21</v>
      </c>
      <c r="F80" s="146">
        <v>28</v>
      </c>
      <c r="G80" s="147">
        <v>357.16</v>
      </c>
      <c r="H80" s="147">
        <v>670.07</v>
      </c>
      <c r="I80" s="147">
        <v>1.61</v>
      </c>
      <c r="J80" s="147">
        <v>0.59</v>
      </c>
      <c r="K80" s="147">
        <v>70</v>
      </c>
      <c r="L80" s="147">
        <v>25</v>
      </c>
      <c r="M80" s="147">
        <v>105.01</v>
      </c>
      <c r="N80" s="147">
        <v>37.5</v>
      </c>
      <c r="O80" s="147">
        <v>54.49</v>
      </c>
      <c r="P80" s="147">
        <v>175.01</v>
      </c>
      <c r="Q80" s="147">
        <v>62.5</v>
      </c>
      <c r="R80" s="147">
        <v>100</v>
      </c>
      <c r="S80" s="147">
        <v>1301.78</v>
      </c>
    </row>
    <row r="81" spans="1:19" customFormat="1" x14ac:dyDescent="0.25">
      <c r="A81" s="146" t="s">
        <v>84</v>
      </c>
      <c r="B81" s="146" t="s">
        <v>377</v>
      </c>
      <c r="C81" s="146">
        <v>4</v>
      </c>
      <c r="D81" s="146">
        <v>9</v>
      </c>
      <c r="E81" s="146" t="s">
        <v>21</v>
      </c>
      <c r="F81" s="146">
        <v>28</v>
      </c>
      <c r="G81" s="147">
        <v>967.81</v>
      </c>
      <c r="H81" s="147">
        <v>670.07</v>
      </c>
      <c r="I81" s="147">
        <v>189.69</v>
      </c>
      <c r="J81" s="147">
        <v>68.98</v>
      </c>
      <c r="K81" s="147">
        <v>189.69</v>
      </c>
      <c r="L81" s="147">
        <v>67.75</v>
      </c>
      <c r="M81" s="147">
        <v>284.54000000000002</v>
      </c>
      <c r="N81" s="147">
        <v>101.62</v>
      </c>
      <c r="O81" s="147">
        <v>147.66</v>
      </c>
      <c r="P81" s="147">
        <v>474.23</v>
      </c>
      <c r="Q81" s="147">
        <v>169.37</v>
      </c>
      <c r="R81" s="147">
        <v>270.99</v>
      </c>
      <c r="S81" s="147">
        <v>2634.59</v>
      </c>
    </row>
    <row r="82" spans="1:19" customFormat="1" x14ac:dyDescent="0.25">
      <c r="A82" s="146" t="s">
        <v>85</v>
      </c>
      <c r="B82" s="146" t="s">
        <v>378</v>
      </c>
      <c r="C82" s="146">
        <v>1</v>
      </c>
      <c r="D82" s="146">
        <v>9</v>
      </c>
      <c r="E82" s="146" t="s">
        <v>21</v>
      </c>
      <c r="F82" s="146">
        <v>28</v>
      </c>
      <c r="G82" s="147">
        <v>330.57</v>
      </c>
      <c r="H82" s="147">
        <v>670.07</v>
      </c>
      <c r="I82" s="147">
        <v>0</v>
      </c>
      <c r="J82" s="147">
        <v>0</v>
      </c>
      <c r="K82" s="147">
        <v>64.790000000000006</v>
      </c>
      <c r="L82" s="147">
        <v>23.14</v>
      </c>
      <c r="M82" s="147">
        <v>97.19</v>
      </c>
      <c r="N82" s="147">
        <v>34.71</v>
      </c>
      <c r="O82" s="147">
        <v>50.44</v>
      </c>
      <c r="P82" s="147">
        <v>161.97999999999999</v>
      </c>
      <c r="Q82" s="147">
        <v>57.85</v>
      </c>
      <c r="R82" s="147">
        <v>92.56</v>
      </c>
      <c r="S82" s="147">
        <v>1252.73</v>
      </c>
    </row>
    <row r="83" spans="1:19" customFormat="1" x14ac:dyDescent="0.25">
      <c r="A83" s="146" t="s">
        <v>86</v>
      </c>
      <c r="B83" s="146" t="s">
        <v>379</v>
      </c>
      <c r="C83" s="146">
        <v>1</v>
      </c>
      <c r="D83" s="146">
        <v>9</v>
      </c>
      <c r="E83" s="146" t="s">
        <v>21</v>
      </c>
      <c r="F83" s="146">
        <v>28</v>
      </c>
      <c r="G83" s="147">
        <v>330.57</v>
      </c>
      <c r="H83" s="147">
        <v>670.07</v>
      </c>
      <c r="I83" s="147">
        <v>0</v>
      </c>
      <c r="J83" s="147">
        <v>0</v>
      </c>
      <c r="K83" s="147">
        <v>64.790000000000006</v>
      </c>
      <c r="L83" s="147">
        <v>23.14</v>
      </c>
      <c r="M83" s="147">
        <v>97.19</v>
      </c>
      <c r="N83" s="147">
        <v>34.71</v>
      </c>
      <c r="O83" s="147">
        <v>50.44</v>
      </c>
      <c r="P83" s="147">
        <v>161.97999999999999</v>
      </c>
      <c r="Q83" s="147">
        <v>57.85</v>
      </c>
      <c r="R83" s="147">
        <v>92.56</v>
      </c>
      <c r="S83" s="147">
        <v>1252.73</v>
      </c>
    </row>
    <row r="84" spans="1:19" customFormat="1" x14ac:dyDescent="0.25">
      <c r="A84" s="146" t="s">
        <v>87</v>
      </c>
      <c r="B84" s="146" t="s">
        <v>380</v>
      </c>
      <c r="C84" s="146">
        <v>4</v>
      </c>
      <c r="D84" s="146">
        <v>9</v>
      </c>
      <c r="E84" s="146" t="s">
        <v>21</v>
      </c>
      <c r="F84" s="146">
        <v>28</v>
      </c>
      <c r="G84" s="147">
        <v>464.94</v>
      </c>
      <c r="H84" s="147">
        <v>670.07</v>
      </c>
      <c r="I84" s="147">
        <v>34.81</v>
      </c>
      <c r="J84" s="147">
        <v>12.66</v>
      </c>
      <c r="K84" s="147">
        <v>91.13</v>
      </c>
      <c r="L84" s="147">
        <v>32.549999999999997</v>
      </c>
      <c r="M84" s="147">
        <v>136.69</v>
      </c>
      <c r="N84" s="147">
        <v>48.82</v>
      </c>
      <c r="O84" s="147">
        <v>70.94</v>
      </c>
      <c r="P84" s="147">
        <v>227.82</v>
      </c>
      <c r="Q84" s="147">
        <v>81.36</v>
      </c>
      <c r="R84" s="147">
        <v>130.18</v>
      </c>
      <c r="S84" s="147">
        <v>1537.03</v>
      </c>
    </row>
    <row r="85" spans="1:19" customFormat="1" x14ac:dyDescent="0.25">
      <c r="A85" s="146" t="s">
        <v>88</v>
      </c>
      <c r="B85" s="146" t="s">
        <v>381</v>
      </c>
      <c r="C85" s="146">
        <v>1</v>
      </c>
      <c r="D85" s="146">
        <v>9</v>
      </c>
      <c r="E85" s="146" t="s">
        <v>21</v>
      </c>
      <c r="F85" s="146">
        <v>28</v>
      </c>
      <c r="G85" s="147">
        <v>330.57</v>
      </c>
      <c r="H85" s="147">
        <v>670.07</v>
      </c>
      <c r="I85" s="147">
        <v>0</v>
      </c>
      <c r="J85" s="147">
        <v>0</v>
      </c>
      <c r="K85" s="147">
        <v>64.790000000000006</v>
      </c>
      <c r="L85" s="147">
        <v>23.14</v>
      </c>
      <c r="M85" s="147">
        <v>97.19</v>
      </c>
      <c r="N85" s="147">
        <v>34.71</v>
      </c>
      <c r="O85" s="147">
        <v>50.44</v>
      </c>
      <c r="P85" s="147">
        <v>161.97999999999999</v>
      </c>
      <c r="Q85" s="147">
        <v>57.85</v>
      </c>
      <c r="R85" s="147">
        <v>92.56</v>
      </c>
      <c r="S85" s="147">
        <v>1252.73</v>
      </c>
    </row>
    <row r="86" spans="1:19" customFormat="1" x14ac:dyDescent="0.25">
      <c r="A86" s="146" t="s">
        <v>89</v>
      </c>
      <c r="B86" s="146" t="s">
        <v>382</v>
      </c>
      <c r="C86" s="146">
        <v>4</v>
      </c>
      <c r="D86" s="146">
        <v>9</v>
      </c>
      <c r="E86" s="146" t="s">
        <v>21</v>
      </c>
      <c r="F86" s="146">
        <v>28</v>
      </c>
      <c r="G86" s="147">
        <v>560.66999999999996</v>
      </c>
      <c r="H86" s="147">
        <v>670.07</v>
      </c>
      <c r="I86" s="147">
        <v>64.290000000000006</v>
      </c>
      <c r="J86" s="147">
        <v>23.38</v>
      </c>
      <c r="K86" s="147">
        <v>109.89</v>
      </c>
      <c r="L86" s="147">
        <v>39.25</v>
      </c>
      <c r="M86" s="147">
        <v>164.84</v>
      </c>
      <c r="N86" s="147">
        <v>58.87</v>
      </c>
      <c r="O86" s="147">
        <v>85.54</v>
      </c>
      <c r="P86" s="147">
        <v>274.73</v>
      </c>
      <c r="Q86" s="147">
        <v>98.12</v>
      </c>
      <c r="R86" s="147">
        <v>156.99</v>
      </c>
      <c r="S86" s="147">
        <v>1745.97</v>
      </c>
    </row>
    <row r="87" spans="1:19" customFormat="1" x14ac:dyDescent="0.25">
      <c r="A87" s="146" t="s">
        <v>90</v>
      </c>
      <c r="B87" s="146" t="s">
        <v>383</v>
      </c>
      <c r="C87" s="146">
        <v>1</v>
      </c>
      <c r="D87" s="146">
        <v>9</v>
      </c>
      <c r="E87" s="146" t="s">
        <v>21</v>
      </c>
      <c r="F87" s="146">
        <v>28</v>
      </c>
      <c r="G87" s="147">
        <v>330.57</v>
      </c>
      <c r="H87" s="147">
        <v>670.07</v>
      </c>
      <c r="I87" s="147">
        <v>0</v>
      </c>
      <c r="J87" s="147">
        <v>0</v>
      </c>
      <c r="K87" s="147">
        <v>64.790000000000006</v>
      </c>
      <c r="L87" s="147">
        <v>23.14</v>
      </c>
      <c r="M87" s="147">
        <v>97.19</v>
      </c>
      <c r="N87" s="147">
        <v>34.71</v>
      </c>
      <c r="O87" s="147">
        <v>50.44</v>
      </c>
      <c r="P87" s="147">
        <v>161.97999999999999</v>
      </c>
      <c r="Q87" s="147">
        <v>57.85</v>
      </c>
      <c r="R87" s="147">
        <v>92.56</v>
      </c>
      <c r="S87" s="147">
        <v>1252.73</v>
      </c>
    </row>
    <row r="88" spans="1:19" customFormat="1" x14ac:dyDescent="0.25">
      <c r="A88" s="146" t="s">
        <v>91</v>
      </c>
      <c r="B88" s="146" t="s">
        <v>384</v>
      </c>
      <c r="C88" s="146">
        <v>4</v>
      </c>
      <c r="D88" s="146">
        <v>9</v>
      </c>
      <c r="E88" s="146" t="s">
        <v>21</v>
      </c>
      <c r="F88" s="146">
        <v>28</v>
      </c>
      <c r="G88" s="147">
        <v>1101.8</v>
      </c>
      <c r="H88" s="147">
        <v>670.07</v>
      </c>
      <c r="I88" s="147">
        <v>230.96</v>
      </c>
      <c r="J88" s="147">
        <v>83.99</v>
      </c>
      <c r="K88" s="147">
        <v>215.95</v>
      </c>
      <c r="L88" s="147">
        <v>77.13</v>
      </c>
      <c r="M88" s="147">
        <v>323.93</v>
      </c>
      <c r="N88" s="147">
        <v>115.69</v>
      </c>
      <c r="O88" s="147">
        <v>168.11</v>
      </c>
      <c r="P88" s="147">
        <v>539.88</v>
      </c>
      <c r="Q88" s="147">
        <v>192.82</v>
      </c>
      <c r="R88" s="147">
        <v>308.5</v>
      </c>
      <c r="S88" s="147">
        <v>2927.03</v>
      </c>
    </row>
    <row r="89" spans="1:19" customFormat="1" x14ac:dyDescent="0.25">
      <c r="A89" s="146" t="s">
        <v>92</v>
      </c>
      <c r="B89" s="146" t="s">
        <v>385</v>
      </c>
      <c r="C89" s="146">
        <v>4</v>
      </c>
      <c r="D89" s="146">
        <v>9</v>
      </c>
      <c r="E89" s="146" t="s">
        <v>21</v>
      </c>
      <c r="F89" s="146">
        <v>28</v>
      </c>
      <c r="G89" s="147">
        <v>460.47</v>
      </c>
      <c r="H89" s="147">
        <v>670.07</v>
      </c>
      <c r="I89" s="147">
        <v>33.43</v>
      </c>
      <c r="J89" s="147">
        <v>12.16</v>
      </c>
      <c r="K89" s="147">
        <v>90.25</v>
      </c>
      <c r="L89" s="147">
        <v>32.229999999999997</v>
      </c>
      <c r="M89" s="147">
        <v>135.38</v>
      </c>
      <c r="N89" s="147">
        <v>48.35</v>
      </c>
      <c r="O89" s="147">
        <v>70.260000000000005</v>
      </c>
      <c r="P89" s="147">
        <v>225.63</v>
      </c>
      <c r="Q89" s="147">
        <v>80.58</v>
      </c>
      <c r="R89" s="147">
        <v>128.93</v>
      </c>
      <c r="S89" s="147">
        <v>1527.27</v>
      </c>
    </row>
    <row r="90" spans="1:19" customFormat="1" x14ac:dyDescent="0.25">
      <c r="A90" s="146" t="s">
        <v>386</v>
      </c>
      <c r="B90" s="146" t="s">
        <v>387</v>
      </c>
      <c r="C90" s="146">
        <v>4</v>
      </c>
      <c r="D90" s="146">
        <v>9</v>
      </c>
      <c r="E90" s="146" t="s">
        <v>21</v>
      </c>
      <c r="F90" s="146">
        <v>28</v>
      </c>
      <c r="G90" s="147">
        <v>2233.33</v>
      </c>
      <c r="H90" s="147">
        <v>670.07</v>
      </c>
      <c r="I90" s="147">
        <v>579.47</v>
      </c>
      <c r="J90" s="147">
        <v>210.72</v>
      </c>
      <c r="K90" s="147">
        <v>437.73</v>
      </c>
      <c r="L90" s="147">
        <v>156.33000000000001</v>
      </c>
      <c r="M90" s="147">
        <v>656.6</v>
      </c>
      <c r="N90" s="147">
        <v>234.5</v>
      </c>
      <c r="O90" s="147">
        <v>340.75</v>
      </c>
      <c r="P90" s="147">
        <v>1094.33</v>
      </c>
      <c r="Q90" s="147">
        <v>390.83</v>
      </c>
      <c r="R90" s="147">
        <v>625.33000000000004</v>
      </c>
      <c r="S90" s="147">
        <v>5396.66</v>
      </c>
    </row>
    <row r="91" spans="1:19" customFormat="1" x14ac:dyDescent="0.25">
      <c r="A91" s="146" t="s">
        <v>93</v>
      </c>
      <c r="B91" s="146" t="s">
        <v>388</v>
      </c>
      <c r="C91" s="146">
        <v>4</v>
      </c>
      <c r="D91" s="146">
        <v>9</v>
      </c>
      <c r="E91" s="146" t="s">
        <v>21</v>
      </c>
      <c r="F91" s="146">
        <v>28</v>
      </c>
      <c r="G91" s="147">
        <v>687.34</v>
      </c>
      <c r="H91" s="147">
        <v>670.07</v>
      </c>
      <c r="I91" s="147">
        <v>103.31</v>
      </c>
      <c r="J91" s="147">
        <v>37.57</v>
      </c>
      <c r="K91" s="147">
        <v>134.72</v>
      </c>
      <c r="L91" s="147">
        <v>48.11</v>
      </c>
      <c r="M91" s="147">
        <v>202.08</v>
      </c>
      <c r="N91" s="147">
        <v>72.17</v>
      </c>
      <c r="O91" s="147">
        <v>104.87</v>
      </c>
      <c r="P91" s="147">
        <v>336.8</v>
      </c>
      <c r="Q91" s="147">
        <v>120.28</v>
      </c>
      <c r="R91" s="147">
        <v>192.46</v>
      </c>
      <c r="S91" s="147">
        <v>2022.44</v>
      </c>
    </row>
    <row r="92" spans="1:19" customFormat="1" x14ac:dyDescent="0.25">
      <c r="A92" s="146" t="s">
        <v>94</v>
      </c>
      <c r="B92" s="146" t="s">
        <v>389</v>
      </c>
      <c r="C92" s="146">
        <v>1</v>
      </c>
      <c r="D92" s="146">
        <v>9</v>
      </c>
      <c r="E92" s="146" t="s">
        <v>21</v>
      </c>
      <c r="F92" s="146">
        <v>28</v>
      </c>
      <c r="G92" s="147">
        <v>330.57</v>
      </c>
      <c r="H92" s="147">
        <v>670.07</v>
      </c>
      <c r="I92" s="147">
        <v>0</v>
      </c>
      <c r="J92" s="147">
        <v>0</v>
      </c>
      <c r="K92" s="147">
        <v>64.790000000000006</v>
      </c>
      <c r="L92" s="147">
        <v>23.14</v>
      </c>
      <c r="M92" s="147">
        <v>97.19</v>
      </c>
      <c r="N92" s="147">
        <v>34.71</v>
      </c>
      <c r="O92" s="147">
        <v>50.44</v>
      </c>
      <c r="P92" s="147">
        <v>161.97999999999999</v>
      </c>
      <c r="Q92" s="147">
        <v>57.85</v>
      </c>
      <c r="R92" s="147">
        <v>92.56</v>
      </c>
      <c r="S92" s="147">
        <v>1252.73</v>
      </c>
    </row>
    <row r="93" spans="1:19" customFormat="1" x14ac:dyDescent="0.25">
      <c r="A93" s="146" t="s">
        <v>95</v>
      </c>
      <c r="B93" s="146" t="s">
        <v>390</v>
      </c>
      <c r="C93" s="146">
        <v>4</v>
      </c>
      <c r="D93" s="146">
        <v>9</v>
      </c>
      <c r="E93" s="146" t="s">
        <v>21</v>
      </c>
      <c r="F93" s="146">
        <v>28</v>
      </c>
      <c r="G93" s="147">
        <v>436.24</v>
      </c>
      <c r="H93" s="147">
        <v>670.07</v>
      </c>
      <c r="I93" s="147">
        <v>25.97</v>
      </c>
      <c r="J93" s="147">
        <v>9.44</v>
      </c>
      <c r="K93" s="147">
        <v>85.5</v>
      </c>
      <c r="L93" s="147">
        <v>30.54</v>
      </c>
      <c r="M93" s="147">
        <v>128.25</v>
      </c>
      <c r="N93" s="147">
        <v>45.81</v>
      </c>
      <c r="O93" s="147">
        <v>66.56</v>
      </c>
      <c r="P93" s="147">
        <v>213.76</v>
      </c>
      <c r="Q93" s="147">
        <v>76.34</v>
      </c>
      <c r="R93" s="147">
        <v>122.15</v>
      </c>
      <c r="S93" s="147">
        <v>1474.39</v>
      </c>
    </row>
    <row r="94" spans="1:19" customFormat="1" x14ac:dyDescent="0.25">
      <c r="A94" s="146" t="s">
        <v>96</v>
      </c>
      <c r="B94" s="146" t="s">
        <v>391</v>
      </c>
      <c r="C94" s="146">
        <v>1</v>
      </c>
      <c r="D94" s="146">
        <v>9</v>
      </c>
      <c r="E94" s="146" t="s">
        <v>21</v>
      </c>
      <c r="F94" s="146">
        <v>28</v>
      </c>
      <c r="G94" s="147">
        <v>330.57</v>
      </c>
      <c r="H94" s="147">
        <v>670.07</v>
      </c>
      <c r="I94" s="147">
        <v>0</v>
      </c>
      <c r="J94" s="147">
        <v>0</v>
      </c>
      <c r="K94" s="147">
        <v>64.790000000000006</v>
      </c>
      <c r="L94" s="147">
        <v>23.14</v>
      </c>
      <c r="M94" s="147">
        <v>97.19</v>
      </c>
      <c r="N94" s="147">
        <v>34.71</v>
      </c>
      <c r="O94" s="147">
        <v>50.44</v>
      </c>
      <c r="P94" s="147">
        <v>161.97999999999999</v>
      </c>
      <c r="Q94" s="147">
        <v>57.85</v>
      </c>
      <c r="R94" s="147">
        <v>92.56</v>
      </c>
      <c r="S94" s="147">
        <v>1252.73</v>
      </c>
    </row>
    <row r="95" spans="1:19" customFormat="1" x14ac:dyDescent="0.25">
      <c r="A95" s="146" t="s">
        <v>97</v>
      </c>
      <c r="B95" s="146" t="s">
        <v>392</v>
      </c>
      <c r="C95" s="146">
        <v>4</v>
      </c>
      <c r="D95" s="146">
        <v>9</v>
      </c>
      <c r="E95" s="146" t="s">
        <v>21</v>
      </c>
      <c r="F95" s="146">
        <v>28</v>
      </c>
      <c r="G95" s="147">
        <v>552.76</v>
      </c>
      <c r="H95" s="147">
        <v>670.07</v>
      </c>
      <c r="I95" s="147">
        <v>61.86</v>
      </c>
      <c r="J95" s="147">
        <v>22.49</v>
      </c>
      <c r="K95" s="147">
        <v>108.34</v>
      </c>
      <c r="L95" s="147">
        <v>38.69</v>
      </c>
      <c r="M95" s="147">
        <v>162.51</v>
      </c>
      <c r="N95" s="147">
        <v>58.04</v>
      </c>
      <c r="O95" s="147">
        <v>84.34</v>
      </c>
      <c r="P95" s="147">
        <v>270.85000000000002</v>
      </c>
      <c r="Q95" s="147">
        <v>96.73</v>
      </c>
      <c r="R95" s="147">
        <v>154.77000000000001</v>
      </c>
      <c r="S95" s="147">
        <v>1728.69</v>
      </c>
    </row>
    <row r="96" spans="1:19" customFormat="1" x14ac:dyDescent="0.25">
      <c r="A96" s="146" t="s">
        <v>98</v>
      </c>
      <c r="B96" s="146" t="s">
        <v>393</v>
      </c>
      <c r="C96" s="146">
        <v>4</v>
      </c>
      <c r="D96" s="146">
        <v>9</v>
      </c>
      <c r="E96" s="146" t="s">
        <v>21</v>
      </c>
      <c r="F96" s="146">
        <v>28</v>
      </c>
      <c r="G96" s="147">
        <v>480.46</v>
      </c>
      <c r="H96" s="147">
        <v>670.07</v>
      </c>
      <c r="I96" s="147">
        <v>39.590000000000003</v>
      </c>
      <c r="J96" s="147">
        <v>14.4</v>
      </c>
      <c r="K96" s="147">
        <v>94.17</v>
      </c>
      <c r="L96" s="147">
        <v>33.630000000000003</v>
      </c>
      <c r="M96" s="147">
        <v>141.26</v>
      </c>
      <c r="N96" s="147">
        <v>50.45</v>
      </c>
      <c r="O96" s="147">
        <v>73.31</v>
      </c>
      <c r="P96" s="147">
        <v>235.43</v>
      </c>
      <c r="Q96" s="147">
        <v>84.08</v>
      </c>
      <c r="R96" s="147">
        <v>134.53</v>
      </c>
      <c r="S96" s="147">
        <v>1570.92</v>
      </c>
    </row>
    <row r="97" spans="1:19" customFormat="1" x14ac:dyDescent="0.25">
      <c r="A97" s="146" t="s">
        <v>99</v>
      </c>
      <c r="B97" s="146" t="s">
        <v>394</v>
      </c>
      <c r="C97" s="146">
        <v>4</v>
      </c>
      <c r="D97" s="146">
        <v>9</v>
      </c>
      <c r="E97" s="146" t="s">
        <v>21</v>
      </c>
      <c r="F97" s="146">
        <v>28</v>
      </c>
      <c r="G97" s="147">
        <v>676.72</v>
      </c>
      <c r="H97" s="147">
        <v>670.07</v>
      </c>
      <c r="I97" s="147">
        <v>100.04</v>
      </c>
      <c r="J97" s="147">
        <v>36.380000000000003</v>
      </c>
      <c r="K97" s="147">
        <v>132.63999999999999</v>
      </c>
      <c r="L97" s="147">
        <v>47.37</v>
      </c>
      <c r="M97" s="147">
        <v>198.96</v>
      </c>
      <c r="N97" s="147">
        <v>71.06</v>
      </c>
      <c r="O97" s="147">
        <v>103.25</v>
      </c>
      <c r="P97" s="147">
        <v>331.59</v>
      </c>
      <c r="Q97" s="147">
        <v>118.43</v>
      </c>
      <c r="R97" s="147">
        <v>189.48</v>
      </c>
      <c r="S97" s="147">
        <v>1999.27</v>
      </c>
    </row>
    <row r="98" spans="1:19" customFormat="1" x14ac:dyDescent="0.25">
      <c r="A98" s="146" t="s">
        <v>395</v>
      </c>
      <c r="B98" s="146" t="s">
        <v>396</v>
      </c>
      <c r="C98" s="146">
        <v>1</v>
      </c>
      <c r="D98" s="146">
        <v>9</v>
      </c>
      <c r="E98" s="146" t="s">
        <v>21</v>
      </c>
      <c r="F98" s="146">
        <v>28</v>
      </c>
      <c r="G98" s="147">
        <v>330.57</v>
      </c>
      <c r="H98" s="147">
        <v>670.07</v>
      </c>
      <c r="I98" s="147">
        <v>0</v>
      </c>
      <c r="J98" s="147">
        <v>0</v>
      </c>
      <c r="K98" s="147">
        <v>64.790000000000006</v>
      </c>
      <c r="L98" s="147">
        <v>23.14</v>
      </c>
      <c r="M98" s="147">
        <v>97.19</v>
      </c>
      <c r="N98" s="147">
        <v>34.71</v>
      </c>
      <c r="O98" s="147">
        <v>50.44</v>
      </c>
      <c r="P98" s="147">
        <v>161.97999999999999</v>
      </c>
      <c r="Q98" s="147">
        <v>57.85</v>
      </c>
      <c r="R98" s="147">
        <v>92.56</v>
      </c>
      <c r="S98" s="147">
        <v>1252.73</v>
      </c>
    </row>
    <row r="99" spans="1:19" customFormat="1" x14ac:dyDescent="0.25">
      <c r="A99" s="146" t="s">
        <v>100</v>
      </c>
      <c r="B99" s="146" t="s">
        <v>397</v>
      </c>
      <c r="C99" s="146">
        <v>4</v>
      </c>
      <c r="D99" s="146">
        <v>9</v>
      </c>
      <c r="E99" s="146" t="s">
        <v>21</v>
      </c>
      <c r="F99" s="146">
        <v>28</v>
      </c>
      <c r="G99" s="147">
        <v>685.89</v>
      </c>
      <c r="H99" s="147">
        <v>670.07</v>
      </c>
      <c r="I99" s="147">
        <v>102.86</v>
      </c>
      <c r="J99" s="147">
        <v>37.4</v>
      </c>
      <c r="K99" s="147">
        <v>134.43</v>
      </c>
      <c r="L99" s="147">
        <v>48.01</v>
      </c>
      <c r="M99" s="147">
        <v>201.65</v>
      </c>
      <c r="N99" s="147">
        <v>72.02</v>
      </c>
      <c r="O99" s="147">
        <v>104.65</v>
      </c>
      <c r="P99" s="147">
        <v>336.09</v>
      </c>
      <c r="Q99" s="147">
        <v>120.03</v>
      </c>
      <c r="R99" s="147">
        <v>192.05</v>
      </c>
      <c r="S99" s="147">
        <v>2019.26</v>
      </c>
    </row>
    <row r="100" spans="1:19" customFormat="1" x14ac:dyDescent="0.25">
      <c r="A100" s="146" t="s">
        <v>101</v>
      </c>
      <c r="B100" s="146" t="s">
        <v>398</v>
      </c>
      <c r="C100" s="146">
        <v>4</v>
      </c>
      <c r="D100" s="146">
        <v>9</v>
      </c>
      <c r="E100" s="146" t="s">
        <v>21</v>
      </c>
      <c r="F100" s="146">
        <v>28</v>
      </c>
      <c r="G100" s="147">
        <v>1142.6500000000001</v>
      </c>
      <c r="H100" s="147">
        <v>670.07</v>
      </c>
      <c r="I100" s="147">
        <v>243.54</v>
      </c>
      <c r="J100" s="147">
        <v>88.56</v>
      </c>
      <c r="K100" s="147">
        <v>223.96</v>
      </c>
      <c r="L100" s="147">
        <v>79.989999999999995</v>
      </c>
      <c r="M100" s="147">
        <v>335.94</v>
      </c>
      <c r="N100" s="147">
        <v>119.98</v>
      </c>
      <c r="O100" s="147">
        <v>174.34</v>
      </c>
      <c r="P100" s="147">
        <v>559.9</v>
      </c>
      <c r="Q100" s="147">
        <v>199.96</v>
      </c>
      <c r="R100" s="147">
        <v>319.94</v>
      </c>
      <c r="S100" s="147">
        <v>3016.18</v>
      </c>
    </row>
    <row r="101" spans="1:19" customFormat="1" x14ac:dyDescent="0.25">
      <c r="A101" s="146" t="s">
        <v>399</v>
      </c>
      <c r="B101" s="146" t="s">
        <v>400</v>
      </c>
      <c r="C101" s="146">
        <v>4</v>
      </c>
      <c r="D101" s="146">
        <v>9</v>
      </c>
      <c r="E101" s="146" t="s">
        <v>21</v>
      </c>
      <c r="F101" s="146">
        <v>28</v>
      </c>
      <c r="G101" s="147">
        <v>719.88</v>
      </c>
      <c r="H101" s="147">
        <v>670.07</v>
      </c>
      <c r="I101" s="147">
        <v>113.33</v>
      </c>
      <c r="J101" s="147">
        <v>41.21</v>
      </c>
      <c r="K101" s="147">
        <v>141.1</v>
      </c>
      <c r="L101" s="147">
        <v>50.39</v>
      </c>
      <c r="M101" s="147">
        <v>211.64</v>
      </c>
      <c r="N101" s="147">
        <v>75.59</v>
      </c>
      <c r="O101" s="147">
        <v>109.84</v>
      </c>
      <c r="P101" s="147">
        <v>352.74</v>
      </c>
      <c r="Q101" s="147">
        <v>125.98</v>
      </c>
      <c r="R101" s="147">
        <v>201.57</v>
      </c>
      <c r="S101" s="147">
        <v>2093.46</v>
      </c>
    </row>
    <row r="102" spans="1:19" customFormat="1" x14ac:dyDescent="0.25">
      <c r="A102" s="146" t="s">
        <v>102</v>
      </c>
      <c r="B102" s="146" t="s">
        <v>401</v>
      </c>
      <c r="C102" s="146">
        <v>1</v>
      </c>
      <c r="D102" s="146">
        <v>9</v>
      </c>
      <c r="E102" s="146" t="s">
        <v>21</v>
      </c>
      <c r="F102" s="146">
        <v>28</v>
      </c>
      <c r="G102" s="147">
        <v>330.57</v>
      </c>
      <c r="H102" s="147">
        <v>670.07</v>
      </c>
      <c r="I102" s="147">
        <v>0</v>
      </c>
      <c r="J102" s="147">
        <v>0</v>
      </c>
      <c r="K102" s="147">
        <v>64.790000000000006</v>
      </c>
      <c r="L102" s="147">
        <v>23.14</v>
      </c>
      <c r="M102" s="147">
        <v>97.19</v>
      </c>
      <c r="N102" s="147">
        <v>34.71</v>
      </c>
      <c r="O102" s="147">
        <v>50.44</v>
      </c>
      <c r="P102" s="147">
        <v>161.97999999999999</v>
      </c>
      <c r="Q102" s="147">
        <v>57.85</v>
      </c>
      <c r="R102" s="147">
        <v>92.56</v>
      </c>
      <c r="S102" s="147">
        <v>1252.73</v>
      </c>
    </row>
    <row r="103" spans="1:19" customFormat="1" x14ac:dyDescent="0.25">
      <c r="A103" s="146" t="s">
        <v>103</v>
      </c>
      <c r="B103" s="146" t="s">
        <v>402</v>
      </c>
      <c r="C103" s="146">
        <v>4</v>
      </c>
      <c r="D103" s="146">
        <v>9</v>
      </c>
      <c r="E103" s="146" t="s">
        <v>21</v>
      </c>
      <c r="F103" s="146">
        <v>28</v>
      </c>
      <c r="G103" s="147">
        <v>489.76</v>
      </c>
      <c r="H103" s="147">
        <v>670.07</v>
      </c>
      <c r="I103" s="147">
        <v>42.45</v>
      </c>
      <c r="J103" s="147">
        <v>15.44</v>
      </c>
      <c r="K103" s="147">
        <v>95.99</v>
      </c>
      <c r="L103" s="147">
        <v>34.28</v>
      </c>
      <c r="M103" s="147">
        <v>143.99</v>
      </c>
      <c r="N103" s="147">
        <v>51.42</v>
      </c>
      <c r="O103" s="147">
        <v>74.73</v>
      </c>
      <c r="P103" s="147">
        <v>239.98</v>
      </c>
      <c r="Q103" s="147">
        <v>85.71</v>
      </c>
      <c r="R103" s="147">
        <v>137.13</v>
      </c>
      <c r="S103" s="147">
        <v>1591.19</v>
      </c>
    </row>
    <row r="104" spans="1:19" customFormat="1" x14ac:dyDescent="0.25">
      <c r="A104" s="146" t="s">
        <v>104</v>
      </c>
      <c r="B104" s="146" t="s">
        <v>403</v>
      </c>
      <c r="C104" s="146">
        <v>1</v>
      </c>
      <c r="D104" s="146">
        <v>9</v>
      </c>
      <c r="E104" s="146" t="s">
        <v>21</v>
      </c>
      <c r="F104" s="146">
        <v>28</v>
      </c>
      <c r="G104" s="147">
        <v>330.57</v>
      </c>
      <c r="H104" s="147">
        <v>670.07</v>
      </c>
      <c r="I104" s="147">
        <v>0</v>
      </c>
      <c r="J104" s="147">
        <v>0</v>
      </c>
      <c r="K104" s="147">
        <v>64.790000000000006</v>
      </c>
      <c r="L104" s="147">
        <v>23.14</v>
      </c>
      <c r="M104" s="147">
        <v>97.19</v>
      </c>
      <c r="N104" s="147">
        <v>34.71</v>
      </c>
      <c r="O104" s="147">
        <v>50.44</v>
      </c>
      <c r="P104" s="147">
        <v>161.97999999999999</v>
      </c>
      <c r="Q104" s="147">
        <v>57.85</v>
      </c>
      <c r="R104" s="147">
        <v>92.56</v>
      </c>
      <c r="S104" s="147">
        <v>1252.73</v>
      </c>
    </row>
    <row r="105" spans="1:19" customFormat="1" x14ac:dyDescent="0.25">
      <c r="A105" s="146" t="s">
        <v>105</v>
      </c>
      <c r="B105" s="146" t="s">
        <v>404</v>
      </c>
      <c r="C105" s="146">
        <v>4</v>
      </c>
      <c r="D105" s="146">
        <v>9</v>
      </c>
      <c r="E105" s="146" t="s">
        <v>21</v>
      </c>
      <c r="F105" s="146">
        <v>28</v>
      </c>
      <c r="G105" s="147">
        <v>752.25</v>
      </c>
      <c r="H105" s="147">
        <v>670.07</v>
      </c>
      <c r="I105" s="147">
        <v>123.3</v>
      </c>
      <c r="J105" s="147">
        <v>44.84</v>
      </c>
      <c r="K105" s="147">
        <v>147.44</v>
      </c>
      <c r="L105" s="147">
        <v>52.66</v>
      </c>
      <c r="M105" s="147">
        <v>221.16</v>
      </c>
      <c r="N105" s="147">
        <v>78.989999999999995</v>
      </c>
      <c r="O105" s="147">
        <v>114.77</v>
      </c>
      <c r="P105" s="147">
        <v>368.6</v>
      </c>
      <c r="Q105" s="147">
        <v>131.63999999999999</v>
      </c>
      <c r="R105" s="147">
        <v>210.63</v>
      </c>
      <c r="S105" s="147">
        <v>2164.1</v>
      </c>
    </row>
    <row r="106" spans="1:19" customFormat="1" x14ac:dyDescent="0.25">
      <c r="A106" s="146" t="s">
        <v>106</v>
      </c>
      <c r="B106" s="146" t="s">
        <v>405</v>
      </c>
      <c r="C106" s="146">
        <v>4</v>
      </c>
      <c r="D106" s="146">
        <v>9</v>
      </c>
      <c r="E106" s="146" t="s">
        <v>21</v>
      </c>
      <c r="F106" s="146">
        <v>28</v>
      </c>
      <c r="G106" s="147">
        <v>948.27</v>
      </c>
      <c r="H106" s="147">
        <v>670.07</v>
      </c>
      <c r="I106" s="147">
        <v>183.67</v>
      </c>
      <c r="J106" s="147">
        <v>66.790000000000006</v>
      </c>
      <c r="K106" s="147">
        <v>185.86</v>
      </c>
      <c r="L106" s="147">
        <v>66.38</v>
      </c>
      <c r="M106" s="147">
        <v>278.79000000000002</v>
      </c>
      <c r="N106" s="147">
        <v>99.57</v>
      </c>
      <c r="O106" s="147">
        <v>144.68</v>
      </c>
      <c r="P106" s="147">
        <v>464.65</v>
      </c>
      <c r="Q106" s="147">
        <v>165.95</v>
      </c>
      <c r="R106" s="147">
        <v>265.52</v>
      </c>
      <c r="S106" s="147">
        <v>2591.9299999999998</v>
      </c>
    </row>
    <row r="107" spans="1:19" customFormat="1" x14ac:dyDescent="0.25">
      <c r="A107" s="146" t="s">
        <v>107</v>
      </c>
      <c r="B107" s="146" t="s">
        <v>406</v>
      </c>
      <c r="C107" s="146">
        <v>4</v>
      </c>
      <c r="D107" s="146">
        <v>9</v>
      </c>
      <c r="E107" s="146" t="s">
        <v>21</v>
      </c>
      <c r="F107" s="146">
        <v>28</v>
      </c>
      <c r="G107" s="147">
        <v>459.18</v>
      </c>
      <c r="H107" s="147">
        <v>670.07</v>
      </c>
      <c r="I107" s="147">
        <v>33.03</v>
      </c>
      <c r="J107" s="147">
        <v>12.01</v>
      </c>
      <c r="K107" s="147">
        <v>90</v>
      </c>
      <c r="L107" s="147">
        <v>32.14</v>
      </c>
      <c r="M107" s="147">
        <v>135</v>
      </c>
      <c r="N107" s="147">
        <v>48.21</v>
      </c>
      <c r="O107" s="147">
        <v>70.06</v>
      </c>
      <c r="P107" s="147">
        <v>225</v>
      </c>
      <c r="Q107" s="147">
        <v>80.36</v>
      </c>
      <c r="R107" s="147">
        <v>128.57</v>
      </c>
      <c r="S107" s="147">
        <v>1524.45</v>
      </c>
    </row>
    <row r="108" spans="1:19" customFormat="1" x14ac:dyDescent="0.25">
      <c r="A108" s="146" t="s">
        <v>108</v>
      </c>
      <c r="B108" s="146" t="s">
        <v>407</v>
      </c>
      <c r="C108" s="146">
        <v>4</v>
      </c>
      <c r="D108" s="146">
        <v>9</v>
      </c>
      <c r="E108" s="146" t="s">
        <v>21</v>
      </c>
      <c r="F108" s="146">
        <v>28</v>
      </c>
      <c r="G108" s="147">
        <v>547.96</v>
      </c>
      <c r="H108" s="147">
        <v>670.07</v>
      </c>
      <c r="I108" s="147">
        <v>60.38</v>
      </c>
      <c r="J108" s="147">
        <v>21.96</v>
      </c>
      <c r="K108" s="147">
        <v>107.4</v>
      </c>
      <c r="L108" s="147">
        <v>38.36</v>
      </c>
      <c r="M108" s="147">
        <v>161.1</v>
      </c>
      <c r="N108" s="147">
        <v>57.54</v>
      </c>
      <c r="O108" s="147">
        <v>83.6</v>
      </c>
      <c r="P108" s="147">
        <v>268.5</v>
      </c>
      <c r="Q108" s="147">
        <v>95.89</v>
      </c>
      <c r="R108" s="147">
        <v>153.43</v>
      </c>
      <c r="S108" s="147">
        <v>1718.23</v>
      </c>
    </row>
    <row r="109" spans="1:19" customFormat="1" x14ac:dyDescent="0.25">
      <c r="A109" s="146" t="s">
        <v>109</v>
      </c>
      <c r="B109" s="146" t="s">
        <v>408</v>
      </c>
      <c r="C109" s="146">
        <v>4</v>
      </c>
      <c r="D109" s="146">
        <v>9</v>
      </c>
      <c r="E109" s="146" t="s">
        <v>21</v>
      </c>
      <c r="F109" s="146">
        <v>28</v>
      </c>
      <c r="G109" s="147">
        <v>1989.46</v>
      </c>
      <c r="H109" s="147">
        <v>670.07</v>
      </c>
      <c r="I109" s="147">
        <v>504.36</v>
      </c>
      <c r="J109" s="147">
        <v>183.4</v>
      </c>
      <c r="K109" s="147">
        <v>389.93</v>
      </c>
      <c r="L109" s="147">
        <v>139.26</v>
      </c>
      <c r="M109" s="147">
        <v>584.9</v>
      </c>
      <c r="N109" s="147">
        <v>208.89</v>
      </c>
      <c r="O109" s="147">
        <v>303.54000000000002</v>
      </c>
      <c r="P109" s="147">
        <v>974.84</v>
      </c>
      <c r="Q109" s="147">
        <v>348.16</v>
      </c>
      <c r="R109" s="147">
        <v>557.04999999999995</v>
      </c>
      <c r="S109" s="147">
        <v>4864.3999999999996</v>
      </c>
    </row>
    <row r="110" spans="1:19" customFormat="1" x14ac:dyDescent="0.25">
      <c r="A110" s="146" t="s">
        <v>110</v>
      </c>
      <c r="B110" s="146" t="s">
        <v>409</v>
      </c>
      <c r="C110" s="146">
        <v>4</v>
      </c>
      <c r="D110" s="146">
        <v>9</v>
      </c>
      <c r="E110" s="146" t="s">
        <v>21</v>
      </c>
      <c r="F110" s="146">
        <v>28</v>
      </c>
      <c r="G110" s="147">
        <v>417.46</v>
      </c>
      <c r="H110" s="147">
        <v>670.07</v>
      </c>
      <c r="I110" s="147">
        <v>20.18</v>
      </c>
      <c r="J110" s="147">
        <v>7.34</v>
      </c>
      <c r="K110" s="147">
        <v>81.819999999999993</v>
      </c>
      <c r="L110" s="147">
        <v>29.22</v>
      </c>
      <c r="M110" s="147">
        <v>122.73</v>
      </c>
      <c r="N110" s="147">
        <v>43.83</v>
      </c>
      <c r="O110" s="147">
        <v>63.69</v>
      </c>
      <c r="P110" s="147">
        <v>204.56</v>
      </c>
      <c r="Q110" s="147">
        <v>73.06</v>
      </c>
      <c r="R110" s="147">
        <v>116.89</v>
      </c>
      <c r="S110" s="147">
        <v>1433.39</v>
      </c>
    </row>
    <row r="111" spans="1:19" customFormat="1" x14ac:dyDescent="0.25">
      <c r="A111" s="146" t="s">
        <v>111</v>
      </c>
      <c r="B111" s="146" t="s">
        <v>410</v>
      </c>
      <c r="C111" s="146">
        <v>4</v>
      </c>
      <c r="D111" s="146">
        <v>9</v>
      </c>
      <c r="E111" s="146" t="s">
        <v>21</v>
      </c>
      <c r="F111" s="146">
        <v>28</v>
      </c>
      <c r="G111" s="147">
        <v>639.29999999999995</v>
      </c>
      <c r="H111" s="147">
        <v>670.07</v>
      </c>
      <c r="I111" s="147">
        <v>88.51</v>
      </c>
      <c r="J111" s="147">
        <v>32.19</v>
      </c>
      <c r="K111" s="147">
        <v>125.3</v>
      </c>
      <c r="L111" s="147">
        <v>44.75</v>
      </c>
      <c r="M111" s="147">
        <v>187.95</v>
      </c>
      <c r="N111" s="147">
        <v>67.13</v>
      </c>
      <c r="O111" s="147">
        <v>97.54</v>
      </c>
      <c r="P111" s="147">
        <v>313.26</v>
      </c>
      <c r="Q111" s="147">
        <v>111.88</v>
      </c>
      <c r="R111" s="147">
        <v>179</v>
      </c>
      <c r="S111" s="147">
        <v>1917.58</v>
      </c>
    </row>
    <row r="112" spans="1:19" customFormat="1" x14ac:dyDescent="0.25">
      <c r="A112" s="146" t="s">
        <v>112</v>
      </c>
      <c r="B112" s="146" t="s">
        <v>411</v>
      </c>
      <c r="C112" s="146">
        <v>4</v>
      </c>
      <c r="D112" s="146">
        <v>9</v>
      </c>
      <c r="E112" s="146" t="s">
        <v>21</v>
      </c>
      <c r="F112" s="146">
        <v>28</v>
      </c>
      <c r="G112" s="147">
        <v>685.17</v>
      </c>
      <c r="H112" s="147">
        <v>670.07</v>
      </c>
      <c r="I112" s="147">
        <v>102.64</v>
      </c>
      <c r="J112" s="147">
        <v>37.32</v>
      </c>
      <c r="K112" s="147">
        <v>134.29</v>
      </c>
      <c r="L112" s="147">
        <v>47.96</v>
      </c>
      <c r="M112" s="147">
        <v>201.44</v>
      </c>
      <c r="N112" s="147">
        <v>71.94</v>
      </c>
      <c r="O112" s="147">
        <v>104.54</v>
      </c>
      <c r="P112" s="147">
        <v>335.73</v>
      </c>
      <c r="Q112" s="147">
        <v>119.9</v>
      </c>
      <c r="R112" s="147">
        <v>191.85</v>
      </c>
      <c r="S112" s="147">
        <v>2017.68</v>
      </c>
    </row>
    <row r="113" spans="1:19" customFormat="1" x14ac:dyDescent="0.25">
      <c r="A113" s="146" t="s">
        <v>113</v>
      </c>
      <c r="B113" s="146" t="s">
        <v>412</v>
      </c>
      <c r="C113" s="146">
        <v>4</v>
      </c>
      <c r="D113" s="146">
        <v>9</v>
      </c>
      <c r="E113" s="146" t="s">
        <v>21</v>
      </c>
      <c r="F113" s="146">
        <v>28</v>
      </c>
      <c r="G113" s="147">
        <v>565.54999999999995</v>
      </c>
      <c r="H113" s="147">
        <v>670.07</v>
      </c>
      <c r="I113" s="147">
        <v>65.790000000000006</v>
      </c>
      <c r="J113" s="147">
        <v>23.93</v>
      </c>
      <c r="K113" s="147">
        <v>110.85</v>
      </c>
      <c r="L113" s="147">
        <v>39.590000000000003</v>
      </c>
      <c r="M113" s="147">
        <v>166.27</v>
      </c>
      <c r="N113" s="147">
        <v>59.38</v>
      </c>
      <c r="O113" s="147">
        <v>86.29</v>
      </c>
      <c r="P113" s="147">
        <v>277.12</v>
      </c>
      <c r="Q113" s="147">
        <v>98.97</v>
      </c>
      <c r="R113" s="147">
        <v>158.35</v>
      </c>
      <c r="S113" s="147">
        <v>1756.61</v>
      </c>
    </row>
    <row r="114" spans="1:19" customFormat="1" x14ac:dyDescent="0.25">
      <c r="A114" s="146" t="s">
        <v>114</v>
      </c>
      <c r="B114" s="146" t="s">
        <v>413</v>
      </c>
      <c r="C114" s="146">
        <v>1</v>
      </c>
      <c r="D114" s="146">
        <v>9</v>
      </c>
      <c r="E114" s="146" t="s">
        <v>21</v>
      </c>
      <c r="F114" s="146">
        <v>28</v>
      </c>
      <c r="G114" s="147">
        <v>330.57</v>
      </c>
      <c r="H114" s="147">
        <v>670.07</v>
      </c>
      <c r="I114" s="147">
        <v>0</v>
      </c>
      <c r="J114" s="147">
        <v>0</v>
      </c>
      <c r="K114" s="147">
        <v>64.790000000000006</v>
      </c>
      <c r="L114" s="147">
        <v>23.14</v>
      </c>
      <c r="M114" s="147">
        <v>97.19</v>
      </c>
      <c r="N114" s="147">
        <v>34.71</v>
      </c>
      <c r="O114" s="147">
        <v>50.44</v>
      </c>
      <c r="P114" s="147">
        <v>161.97999999999999</v>
      </c>
      <c r="Q114" s="147">
        <v>57.85</v>
      </c>
      <c r="R114" s="147">
        <v>92.56</v>
      </c>
      <c r="S114" s="147">
        <v>1252.73</v>
      </c>
    </row>
    <row r="115" spans="1:19" customFormat="1" x14ac:dyDescent="0.25">
      <c r="A115" s="146" t="s">
        <v>115</v>
      </c>
      <c r="B115" s="146" t="s">
        <v>414</v>
      </c>
      <c r="C115" s="146">
        <v>1</v>
      </c>
      <c r="D115" s="146">
        <v>9</v>
      </c>
      <c r="E115" s="146" t="s">
        <v>21</v>
      </c>
      <c r="F115" s="146">
        <v>28</v>
      </c>
      <c r="G115" s="147">
        <v>330.57</v>
      </c>
      <c r="H115" s="147">
        <v>670.07</v>
      </c>
      <c r="I115" s="147">
        <v>0</v>
      </c>
      <c r="J115" s="147">
        <v>0</v>
      </c>
      <c r="K115" s="147">
        <v>64.790000000000006</v>
      </c>
      <c r="L115" s="147">
        <v>23.14</v>
      </c>
      <c r="M115" s="147">
        <v>97.19</v>
      </c>
      <c r="N115" s="147">
        <v>34.71</v>
      </c>
      <c r="O115" s="147">
        <v>50.44</v>
      </c>
      <c r="P115" s="147">
        <v>161.97999999999999</v>
      </c>
      <c r="Q115" s="147">
        <v>57.85</v>
      </c>
      <c r="R115" s="147">
        <v>92.56</v>
      </c>
      <c r="S115" s="147">
        <v>1252.73</v>
      </c>
    </row>
    <row r="116" spans="1:19" customFormat="1" x14ac:dyDescent="0.25">
      <c r="A116" s="146" t="s">
        <v>415</v>
      </c>
      <c r="B116" s="146" t="s">
        <v>416</v>
      </c>
      <c r="C116" s="146">
        <v>1</v>
      </c>
      <c r="D116" s="146">
        <v>9</v>
      </c>
      <c r="E116" s="146" t="s">
        <v>21</v>
      </c>
      <c r="F116" s="146">
        <v>28</v>
      </c>
      <c r="G116" s="147">
        <v>330.57</v>
      </c>
      <c r="H116" s="147">
        <v>670.07</v>
      </c>
      <c r="I116" s="147">
        <v>0</v>
      </c>
      <c r="J116" s="147">
        <v>0</v>
      </c>
      <c r="K116" s="147">
        <v>64.790000000000006</v>
      </c>
      <c r="L116" s="147">
        <v>23.14</v>
      </c>
      <c r="M116" s="147">
        <v>97.19</v>
      </c>
      <c r="N116" s="147">
        <v>34.71</v>
      </c>
      <c r="O116" s="147">
        <v>50.44</v>
      </c>
      <c r="P116" s="147">
        <v>161.97999999999999</v>
      </c>
      <c r="Q116" s="147">
        <v>57.85</v>
      </c>
      <c r="R116" s="147">
        <v>92.56</v>
      </c>
      <c r="S116" s="147">
        <v>1252.73</v>
      </c>
    </row>
    <row r="117" spans="1:19" customFormat="1" x14ac:dyDescent="0.25">
      <c r="A117" s="146" t="s">
        <v>417</v>
      </c>
      <c r="B117" s="146" t="s">
        <v>418</v>
      </c>
      <c r="C117" s="146">
        <v>4</v>
      </c>
      <c r="D117" s="146">
        <v>9</v>
      </c>
      <c r="E117" s="146" t="s">
        <v>21</v>
      </c>
      <c r="F117" s="146">
        <v>28</v>
      </c>
      <c r="G117" s="147">
        <v>356.97</v>
      </c>
      <c r="H117" s="147">
        <v>670.07</v>
      </c>
      <c r="I117" s="147">
        <v>1.55</v>
      </c>
      <c r="J117" s="147">
        <v>0.56000000000000005</v>
      </c>
      <c r="K117" s="147">
        <v>69.97</v>
      </c>
      <c r="L117" s="147">
        <v>24.99</v>
      </c>
      <c r="M117" s="147">
        <v>104.95</v>
      </c>
      <c r="N117" s="147">
        <v>37.479999999999997</v>
      </c>
      <c r="O117" s="147">
        <v>54.46</v>
      </c>
      <c r="P117" s="147">
        <v>174.92</v>
      </c>
      <c r="Q117" s="147">
        <v>62.47</v>
      </c>
      <c r="R117" s="147">
        <v>99.95</v>
      </c>
      <c r="S117" s="147">
        <v>1301.3699999999999</v>
      </c>
    </row>
    <row r="118" spans="1:19" customFormat="1" x14ac:dyDescent="0.25">
      <c r="A118" s="146" t="s">
        <v>116</v>
      </c>
      <c r="B118" s="146" t="s">
        <v>419</v>
      </c>
      <c r="C118" s="146">
        <v>4</v>
      </c>
      <c r="D118" s="146">
        <v>9</v>
      </c>
      <c r="E118" s="146" t="s">
        <v>21</v>
      </c>
      <c r="F118" s="146">
        <v>28</v>
      </c>
      <c r="G118" s="147">
        <v>357.16</v>
      </c>
      <c r="H118" s="147">
        <v>670.07</v>
      </c>
      <c r="I118" s="147">
        <v>1.61</v>
      </c>
      <c r="J118" s="147">
        <v>0.59</v>
      </c>
      <c r="K118" s="147">
        <v>70</v>
      </c>
      <c r="L118" s="147">
        <v>25</v>
      </c>
      <c r="M118" s="147">
        <v>105.01</v>
      </c>
      <c r="N118" s="147">
        <v>37.5</v>
      </c>
      <c r="O118" s="147">
        <v>54.49</v>
      </c>
      <c r="P118" s="147">
        <v>175.01</v>
      </c>
      <c r="Q118" s="147">
        <v>62.5</v>
      </c>
      <c r="R118" s="147">
        <v>100</v>
      </c>
      <c r="S118" s="147">
        <v>1301.78</v>
      </c>
    </row>
    <row r="119" spans="1:19" customFormat="1" x14ac:dyDescent="0.25">
      <c r="A119" s="146" t="s">
        <v>117</v>
      </c>
      <c r="B119" s="146" t="s">
        <v>420</v>
      </c>
      <c r="C119" s="146">
        <v>4</v>
      </c>
      <c r="D119" s="146">
        <v>9</v>
      </c>
      <c r="E119" s="146" t="s">
        <v>21</v>
      </c>
      <c r="F119" s="146">
        <v>28</v>
      </c>
      <c r="G119" s="147">
        <v>436.24</v>
      </c>
      <c r="H119" s="147">
        <v>670.07</v>
      </c>
      <c r="I119" s="147">
        <v>25.97</v>
      </c>
      <c r="J119" s="147">
        <v>9.44</v>
      </c>
      <c r="K119" s="147">
        <v>85.5</v>
      </c>
      <c r="L119" s="147">
        <v>30.54</v>
      </c>
      <c r="M119" s="147">
        <v>128.25</v>
      </c>
      <c r="N119" s="147">
        <v>45.81</v>
      </c>
      <c r="O119" s="147">
        <v>66.56</v>
      </c>
      <c r="P119" s="147">
        <v>213.76</v>
      </c>
      <c r="Q119" s="147">
        <v>76.34</v>
      </c>
      <c r="R119" s="147">
        <v>122.15</v>
      </c>
      <c r="S119" s="147">
        <v>1474.39</v>
      </c>
    </row>
    <row r="120" spans="1:19" customFormat="1" x14ac:dyDescent="0.25">
      <c r="A120" s="146" t="s">
        <v>118</v>
      </c>
      <c r="B120" s="146" t="s">
        <v>421</v>
      </c>
      <c r="C120" s="146">
        <v>4</v>
      </c>
      <c r="D120" s="146">
        <v>9</v>
      </c>
      <c r="E120" s="146" t="s">
        <v>21</v>
      </c>
      <c r="F120" s="146">
        <v>28</v>
      </c>
      <c r="G120" s="147">
        <v>756.05</v>
      </c>
      <c r="H120" s="147">
        <v>670.07</v>
      </c>
      <c r="I120" s="147">
        <v>124.47</v>
      </c>
      <c r="J120" s="147">
        <v>45.26</v>
      </c>
      <c r="K120" s="147">
        <v>148.19</v>
      </c>
      <c r="L120" s="147">
        <v>52.92</v>
      </c>
      <c r="M120" s="147">
        <v>222.28</v>
      </c>
      <c r="N120" s="147">
        <v>79.39</v>
      </c>
      <c r="O120" s="147">
        <v>115.35</v>
      </c>
      <c r="P120" s="147">
        <v>370.46</v>
      </c>
      <c r="Q120" s="147">
        <v>132.31</v>
      </c>
      <c r="R120" s="147">
        <v>211.69</v>
      </c>
      <c r="S120" s="147">
        <v>2172.39</v>
      </c>
    </row>
    <row r="121" spans="1:19" customFormat="1" x14ac:dyDescent="0.25">
      <c r="A121" s="146" t="s">
        <v>119</v>
      </c>
      <c r="B121" s="146" t="s">
        <v>422</v>
      </c>
      <c r="C121" s="146">
        <v>4</v>
      </c>
      <c r="D121" s="146">
        <v>9</v>
      </c>
      <c r="E121" s="146" t="s">
        <v>21</v>
      </c>
      <c r="F121" s="146">
        <v>28</v>
      </c>
      <c r="G121" s="147">
        <v>463.96</v>
      </c>
      <c r="H121" s="147">
        <v>670.07</v>
      </c>
      <c r="I121" s="147">
        <v>34.51</v>
      </c>
      <c r="J121" s="147">
        <v>12.55</v>
      </c>
      <c r="K121" s="147">
        <v>90.94</v>
      </c>
      <c r="L121" s="147">
        <v>32.479999999999997</v>
      </c>
      <c r="M121" s="147">
        <v>136.4</v>
      </c>
      <c r="N121" s="147">
        <v>48.72</v>
      </c>
      <c r="O121" s="147">
        <v>70.790000000000006</v>
      </c>
      <c r="P121" s="147">
        <v>227.34</v>
      </c>
      <c r="Q121" s="147">
        <v>81.19</v>
      </c>
      <c r="R121" s="147">
        <v>129.91</v>
      </c>
      <c r="S121" s="147">
        <v>1534.9</v>
      </c>
    </row>
    <row r="122" spans="1:19" customFormat="1" x14ac:dyDescent="0.25">
      <c r="A122" s="146" t="s">
        <v>120</v>
      </c>
      <c r="B122" s="146" t="s">
        <v>423</v>
      </c>
      <c r="C122" s="146">
        <v>1</v>
      </c>
      <c r="D122" s="146">
        <v>9</v>
      </c>
      <c r="E122" s="146" t="s">
        <v>21</v>
      </c>
      <c r="F122" s="146">
        <v>28</v>
      </c>
      <c r="G122" s="147">
        <v>330.57</v>
      </c>
      <c r="H122" s="147">
        <v>670.07</v>
      </c>
      <c r="I122" s="147">
        <v>0</v>
      </c>
      <c r="J122" s="147">
        <v>0</v>
      </c>
      <c r="K122" s="147">
        <v>64.790000000000006</v>
      </c>
      <c r="L122" s="147">
        <v>23.14</v>
      </c>
      <c r="M122" s="147">
        <v>97.19</v>
      </c>
      <c r="N122" s="147">
        <v>34.71</v>
      </c>
      <c r="O122" s="147">
        <v>50.44</v>
      </c>
      <c r="P122" s="147">
        <v>161.97999999999999</v>
      </c>
      <c r="Q122" s="147">
        <v>57.85</v>
      </c>
      <c r="R122" s="147">
        <v>92.56</v>
      </c>
      <c r="S122" s="147">
        <v>1252.73</v>
      </c>
    </row>
    <row r="123" spans="1:19" customFormat="1" x14ac:dyDescent="0.25">
      <c r="A123" s="146" t="s">
        <v>121</v>
      </c>
      <c r="B123" s="146" t="s">
        <v>424</v>
      </c>
      <c r="C123" s="146">
        <v>4</v>
      </c>
      <c r="D123" s="146">
        <v>9</v>
      </c>
      <c r="E123" s="146" t="s">
        <v>21</v>
      </c>
      <c r="F123" s="146">
        <v>28</v>
      </c>
      <c r="G123" s="147">
        <v>459.18</v>
      </c>
      <c r="H123" s="147">
        <v>670.07</v>
      </c>
      <c r="I123" s="147">
        <v>33.03</v>
      </c>
      <c r="J123" s="147">
        <v>12.01</v>
      </c>
      <c r="K123" s="147">
        <v>90</v>
      </c>
      <c r="L123" s="147">
        <v>32.14</v>
      </c>
      <c r="M123" s="147">
        <v>135</v>
      </c>
      <c r="N123" s="147">
        <v>48.21</v>
      </c>
      <c r="O123" s="147">
        <v>70.06</v>
      </c>
      <c r="P123" s="147">
        <v>225</v>
      </c>
      <c r="Q123" s="147">
        <v>80.36</v>
      </c>
      <c r="R123" s="147">
        <v>128.57</v>
      </c>
      <c r="S123" s="147">
        <v>1524.45</v>
      </c>
    </row>
    <row r="124" spans="1:19" customFormat="1" x14ac:dyDescent="0.25">
      <c r="A124" s="146" t="s">
        <v>122</v>
      </c>
      <c r="B124" s="146" t="s">
        <v>425</v>
      </c>
      <c r="C124" s="146">
        <v>4</v>
      </c>
      <c r="D124" s="146">
        <v>9</v>
      </c>
      <c r="E124" s="146" t="s">
        <v>21</v>
      </c>
      <c r="F124" s="146">
        <v>28</v>
      </c>
      <c r="G124" s="147">
        <v>681.37</v>
      </c>
      <c r="H124" s="147">
        <v>670.07</v>
      </c>
      <c r="I124" s="147">
        <v>101.47</v>
      </c>
      <c r="J124" s="147">
        <v>36.9</v>
      </c>
      <c r="K124" s="147">
        <v>133.55000000000001</v>
      </c>
      <c r="L124" s="147">
        <v>47.7</v>
      </c>
      <c r="M124" s="147">
        <v>200.32</v>
      </c>
      <c r="N124" s="147">
        <v>71.540000000000006</v>
      </c>
      <c r="O124" s="147">
        <v>103.96</v>
      </c>
      <c r="P124" s="147">
        <v>333.87</v>
      </c>
      <c r="Q124" s="147">
        <v>119.24</v>
      </c>
      <c r="R124" s="147">
        <v>190.78</v>
      </c>
      <c r="S124" s="147">
        <v>2009.4</v>
      </c>
    </row>
    <row r="125" spans="1:19" customFormat="1" x14ac:dyDescent="0.25">
      <c r="A125" s="146" t="s">
        <v>123</v>
      </c>
      <c r="B125" s="146" t="s">
        <v>426</v>
      </c>
      <c r="C125" s="146">
        <v>4</v>
      </c>
      <c r="D125" s="146">
        <v>9</v>
      </c>
      <c r="E125" s="146" t="s">
        <v>21</v>
      </c>
      <c r="F125" s="146">
        <v>28</v>
      </c>
      <c r="G125" s="147">
        <v>879.16</v>
      </c>
      <c r="H125" s="147">
        <v>670.07</v>
      </c>
      <c r="I125" s="147">
        <v>162.38999999999999</v>
      </c>
      <c r="J125" s="147">
        <v>59.05</v>
      </c>
      <c r="K125" s="147">
        <v>172.32</v>
      </c>
      <c r="L125" s="147">
        <v>61.54</v>
      </c>
      <c r="M125" s="147">
        <v>258.47000000000003</v>
      </c>
      <c r="N125" s="147">
        <v>92.31</v>
      </c>
      <c r="O125" s="147">
        <v>134.13999999999999</v>
      </c>
      <c r="P125" s="147">
        <v>430.79</v>
      </c>
      <c r="Q125" s="147">
        <v>153.85</v>
      </c>
      <c r="R125" s="147">
        <v>246.16</v>
      </c>
      <c r="S125" s="147">
        <v>2441.09</v>
      </c>
    </row>
    <row r="126" spans="1:19" customFormat="1" x14ac:dyDescent="0.25">
      <c r="A126" s="146" t="s">
        <v>124</v>
      </c>
      <c r="B126" s="146" t="s">
        <v>427</v>
      </c>
      <c r="C126" s="146">
        <v>4</v>
      </c>
      <c r="D126" s="146">
        <v>9</v>
      </c>
      <c r="E126" s="146" t="s">
        <v>21</v>
      </c>
      <c r="F126" s="146">
        <v>28</v>
      </c>
      <c r="G126" s="147">
        <v>559.82000000000005</v>
      </c>
      <c r="H126" s="147">
        <v>670.07</v>
      </c>
      <c r="I126" s="147">
        <v>64.03</v>
      </c>
      <c r="J126" s="147">
        <v>23.28</v>
      </c>
      <c r="K126" s="147">
        <v>109.72</v>
      </c>
      <c r="L126" s="147">
        <v>39.19</v>
      </c>
      <c r="M126" s="147">
        <v>164.59</v>
      </c>
      <c r="N126" s="147">
        <v>58.78</v>
      </c>
      <c r="O126" s="147">
        <v>85.41</v>
      </c>
      <c r="P126" s="147">
        <v>274.31</v>
      </c>
      <c r="Q126" s="147">
        <v>97.97</v>
      </c>
      <c r="R126" s="147">
        <v>156.75</v>
      </c>
      <c r="S126" s="147">
        <v>1744.1</v>
      </c>
    </row>
    <row r="127" spans="1:19" customFormat="1" x14ac:dyDescent="0.25">
      <c r="A127" s="146" t="s">
        <v>428</v>
      </c>
      <c r="B127" s="146" t="s">
        <v>429</v>
      </c>
      <c r="C127" s="146">
        <v>4</v>
      </c>
      <c r="D127" s="146">
        <v>9</v>
      </c>
      <c r="E127" s="146" t="s">
        <v>21</v>
      </c>
      <c r="F127" s="146">
        <v>28</v>
      </c>
      <c r="G127" s="147">
        <v>391.38</v>
      </c>
      <c r="H127" s="147">
        <v>670.07</v>
      </c>
      <c r="I127" s="147">
        <v>12.15</v>
      </c>
      <c r="J127" s="147">
        <v>4.42</v>
      </c>
      <c r="K127" s="147">
        <v>76.709999999999994</v>
      </c>
      <c r="L127" s="147">
        <v>27.4</v>
      </c>
      <c r="M127" s="147">
        <v>115.07</v>
      </c>
      <c r="N127" s="147">
        <v>41.09</v>
      </c>
      <c r="O127" s="147">
        <v>59.71</v>
      </c>
      <c r="P127" s="147">
        <v>191.78</v>
      </c>
      <c r="Q127" s="147">
        <v>68.489999999999995</v>
      </c>
      <c r="R127" s="147">
        <v>109.59</v>
      </c>
      <c r="S127" s="147">
        <v>1376.48</v>
      </c>
    </row>
    <row r="128" spans="1:19" customFormat="1" x14ac:dyDescent="0.25">
      <c r="A128" s="146" t="s">
        <v>430</v>
      </c>
      <c r="B128" s="146" t="s">
        <v>431</v>
      </c>
      <c r="C128" s="146">
        <v>4</v>
      </c>
      <c r="D128" s="146">
        <v>9</v>
      </c>
      <c r="E128" s="146" t="s">
        <v>21</v>
      </c>
      <c r="F128" s="146">
        <v>28</v>
      </c>
      <c r="G128" s="147">
        <v>613.33000000000004</v>
      </c>
      <c r="H128" s="147">
        <v>670.07</v>
      </c>
      <c r="I128" s="147">
        <v>80.510000000000005</v>
      </c>
      <c r="J128" s="147">
        <v>29.28</v>
      </c>
      <c r="K128" s="147">
        <v>120.21</v>
      </c>
      <c r="L128" s="147">
        <v>42.93</v>
      </c>
      <c r="M128" s="147">
        <v>180.32</v>
      </c>
      <c r="N128" s="147">
        <v>64.400000000000006</v>
      </c>
      <c r="O128" s="147">
        <v>93.58</v>
      </c>
      <c r="P128" s="147">
        <v>300.52999999999997</v>
      </c>
      <c r="Q128" s="147">
        <v>107.33</v>
      </c>
      <c r="R128" s="147">
        <v>171.73</v>
      </c>
      <c r="S128" s="147">
        <v>1860.89</v>
      </c>
    </row>
    <row r="129" spans="1:19" customFormat="1" x14ac:dyDescent="0.25">
      <c r="A129" s="146" t="s">
        <v>432</v>
      </c>
      <c r="B129" s="146" t="s">
        <v>433</v>
      </c>
      <c r="C129" s="146">
        <v>4</v>
      </c>
      <c r="D129" s="146">
        <v>9</v>
      </c>
      <c r="E129" s="146" t="s">
        <v>21</v>
      </c>
      <c r="F129" s="146">
        <v>28</v>
      </c>
      <c r="G129" s="147">
        <v>391.38</v>
      </c>
      <c r="H129" s="147">
        <v>670.07</v>
      </c>
      <c r="I129" s="147">
        <v>12.15</v>
      </c>
      <c r="J129" s="147">
        <v>4.42</v>
      </c>
      <c r="K129" s="147">
        <v>76.709999999999994</v>
      </c>
      <c r="L129" s="147">
        <v>27.4</v>
      </c>
      <c r="M129" s="147">
        <v>115.07</v>
      </c>
      <c r="N129" s="147">
        <v>41.09</v>
      </c>
      <c r="O129" s="147">
        <v>59.71</v>
      </c>
      <c r="P129" s="147">
        <v>191.78</v>
      </c>
      <c r="Q129" s="147">
        <v>68.489999999999995</v>
      </c>
      <c r="R129" s="147">
        <v>109.59</v>
      </c>
      <c r="S129" s="147">
        <v>1376.48</v>
      </c>
    </row>
    <row r="130" spans="1:19" customFormat="1" x14ac:dyDescent="0.25">
      <c r="A130" s="146" t="s">
        <v>125</v>
      </c>
      <c r="B130" s="146" t="s">
        <v>434</v>
      </c>
      <c r="C130" s="146">
        <v>4</v>
      </c>
      <c r="D130" s="146">
        <v>9</v>
      </c>
      <c r="E130" s="146" t="s">
        <v>21</v>
      </c>
      <c r="F130" s="146">
        <v>28</v>
      </c>
      <c r="G130" s="147">
        <v>435.76</v>
      </c>
      <c r="H130" s="147">
        <v>670.07</v>
      </c>
      <c r="I130" s="147">
        <v>25.82</v>
      </c>
      <c r="J130" s="147">
        <v>9.39</v>
      </c>
      <c r="K130" s="147">
        <v>85.41</v>
      </c>
      <c r="L130" s="147">
        <v>30.5</v>
      </c>
      <c r="M130" s="147">
        <v>128.11000000000001</v>
      </c>
      <c r="N130" s="147">
        <v>45.75</v>
      </c>
      <c r="O130" s="147">
        <v>66.489999999999995</v>
      </c>
      <c r="P130" s="147">
        <v>213.52</v>
      </c>
      <c r="Q130" s="147">
        <v>76.260000000000005</v>
      </c>
      <c r="R130" s="147">
        <v>122.01</v>
      </c>
      <c r="S130" s="147">
        <v>1473.33</v>
      </c>
    </row>
    <row r="131" spans="1:19" customFormat="1" x14ac:dyDescent="0.25">
      <c r="A131" s="146" t="s">
        <v>126</v>
      </c>
      <c r="B131" s="146" t="s">
        <v>435</v>
      </c>
      <c r="C131" s="146">
        <v>4</v>
      </c>
      <c r="D131" s="146">
        <v>9</v>
      </c>
      <c r="E131" s="146" t="s">
        <v>21</v>
      </c>
      <c r="F131" s="146">
        <v>28</v>
      </c>
      <c r="G131" s="147">
        <v>754.63</v>
      </c>
      <c r="H131" s="147">
        <v>670.07</v>
      </c>
      <c r="I131" s="147">
        <v>124.03</v>
      </c>
      <c r="J131" s="147">
        <v>45.1</v>
      </c>
      <c r="K131" s="147">
        <v>147.91</v>
      </c>
      <c r="L131" s="147">
        <v>52.82</v>
      </c>
      <c r="M131" s="147">
        <v>221.86</v>
      </c>
      <c r="N131" s="147">
        <v>79.239999999999995</v>
      </c>
      <c r="O131" s="147">
        <v>115.14</v>
      </c>
      <c r="P131" s="147">
        <v>369.77</v>
      </c>
      <c r="Q131" s="147">
        <v>132.06</v>
      </c>
      <c r="R131" s="147">
        <v>211.3</v>
      </c>
      <c r="S131" s="147">
        <v>2169.3000000000002</v>
      </c>
    </row>
    <row r="132" spans="1:19" customFormat="1" x14ac:dyDescent="0.25">
      <c r="A132" s="146" t="s">
        <v>127</v>
      </c>
      <c r="B132" s="146" t="s">
        <v>436</v>
      </c>
      <c r="C132" s="146">
        <v>4</v>
      </c>
      <c r="D132" s="146">
        <v>9</v>
      </c>
      <c r="E132" s="146" t="s">
        <v>21</v>
      </c>
      <c r="F132" s="146">
        <v>28</v>
      </c>
      <c r="G132" s="147">
        <v>606.91</v>
      </c>
      <c r="H132" s="147">
        <v>670.07</v>
      </c>
      <c r="I132" s="147">
        <v>78.53</v>
      </c>
      <c r="J132" s="147">
        <v>28.56</v>
      </c>
      <c r="K132" s="147">
        <v>118.95</v>
      </c>
      <c r="L132" s="147">
        <v>42.48</v>
      </c>
      <c r="M132" s="147">
        <v>178.43</v>
      </c>
      <c r="N132" s="147">
        <v>63.73</v>
      </c>
      <c r="O132" s="147">
        <v>92.6</v>
      </c>
      <c r="P132" s="147">
        <v>297.39</v>
      </c>
      <c r="Q132" s="147">
        <v>106.21</v>
      </c>
      <c r="R132" s="147">
        <v>169.93</v>
      </c>
      <c r="S132" s="147">
        <v>1846.88</v>
      </c>
    </row>
    <row r="133" spans="1:19" customFormat="1" x14ac:dyDescent="0.25">
      <c r="A133" s="146" t="s">
        <v>437</v>
      </c>
      <c r="B133" s="146" t="s">
        <v>438</v>
      </c>
      <c r="C133" s="146">
        <v>4</v>
      </c>
      <c r="D133" s="146">
        <v>9</v>
      </c>
      <c r="E133" s="146" t="s">
        <v>21</v>
      </c>
      <c r="F133" s="146">
        <v>28</v>
      </c>
      <c r="G133" s="147">
        <v>406.13</v>
      </c>
      <c r="H133" s="147">
        <v>670.07</v>
      </c>
      <c r="I133" s="147">
        <v>16.690000000000001</v>
      </c>
      <c r="J133" s="147">
        <v>6.07</v>
      </c>
      <c r="K133" s="147">
        <v>79.599999999999994</v>
      </c>
      <c r="L133" s="147">
        <v>28.43</v>
      </c>
      <c r="M133" s="147">
        <v>119.4</v>
      </c>
      <c r="N133" s="147">
        <v>42.64</v>
      </c>
      <c r="O133" s="147">
        <v>61.97</v>
      </c>
      <c r="P133" s="147">
        <v>199</v>
      </c>
      <c r="Q133" s="147">
        <v>71.069999999999993</v>
      </c>
      <c r="R133" s="147">
        <v>113.72</v>
      </c>
      <c r="S133" s="147">
        <v>1408.66</v>
      </c>
    </row>
    <row r="134" spans="1:19" customFormat="1" x14ac:dyDescent="0.25">
      <c r="A134" s="146" t="s">
        <v>128</v>
      </c>
      <c r="B134" s="146" t="s">
        <v>439</v>
      </c>
      <c r="C134" s="146">
        <v>4</v>
      </c>
      <c r="D134" s="146">
        <v>9</v>
      </c>
      <c r="E134" s="146" t="s">
        <v>21</v>
      </c>
      <c r="F134" s="146">
        <v>28</v>
      </c>
      <c r="G134" s="147">
        <v>520.49</v>
      </c>
      <c r="H134" s="147">
        <v>670.07</v>
      </c>
      <c r="I134" s="147">
        <v>51.92</v>
      </c>
      <c r="J134" s="147">
        <v>18.88</v>
      </c>
      <c r="K134" s="147">
        <v>102.02</v>
      </c>
      <c r="L134" s="147">
        <v>36.43</v>
      </c>
      <c r="M134" s="147">
        <v>153.02000000000001</v>
      </c>
      <c r="N134" s="147">
        <v>54.65</v>
      </c>
      <c r="O134" s="147">
        <v>79.41</v>
      </c>
      <c r="P134" s="147">
        <v>255.04</v>
      </c>
      <c r="Q134" s="147">
        <v>91.09</v>
      </c>
      <c r="R134" s="147">
        <v>145.74</v>
      </c>
      <c r="S134" s="147">
        <v>1658.27</v>
      </c>
    </row>
    <row r="135" spans="1:19" customFormat="1" x14ac:dyDescent="0.25">
      <c r="A135" s="146" t="s">
        <v>129</v>
      </c>
      <c r="B135" s="146" t="s">
        <v>440</v>
      </c>
      <c r="C135" s="146">
        <v>4</v>
      </c>
      <c r="D135" s="146">
        <v>9</v>
      </c>
      <c r="E135" s="146" t="s">
        <v>21</v>
      </c>
      <c r="F135" s="146">
        <v>28</v>
      </c>
      <c r="G135" s="147">
        <v>417.46</v>
      </c>
      <c r="H135" s="147">
        <v>670.07</v>
      </c>
      <c r="I135" s="147">
        <v>20.18</v>
      </c>
      <c r="J135" s="147">
        <v>7.34</v>
      </c>
      <c r="K135" s="147">
        <v>81.819999999999993</v>
      </c>
      <c r="L135" s="147">
        <v>29.22</v>
      </c>
      <c r="M135" s="147">
        <v>122.73</v>
      </c>
      <c r="N135" s="147">
        <v>43.83</v>
      </c>
      <c r="O135" s="147">
        <v>63.69</v>
      </c>
      <c r="P135" s="147">
        <v>204.56</v>
      </c>
      <c r="Q135" s="147">
        <v>73.06</v>
      </c>
      <c r="R135" s="147">
        <v>116.89</v>
      </c>
      <c r="S135" s="147">
        <v>1433.39</v>
      </c>
    </row>
    <row r="136" spans="1:19" customFormat="1" x14ac:dyDescent="0.25">
      <c r="A136" s="146" t="s">
        <v>130</v>
      </c>
      <c r="B136" s="146" t="s">
        <v>441</v>
      </c>
      <c r="C136" s="146">
        <v>4</v>
      </c>
      <c r="D136" s="146">
        <v>9</v>
      </c>
      <c r="E136" s="146" t="s">
        <v>21</v>
      </c>
      <c r="F136" s="146">
        <v>28</v>
      </c>
      <c r="G136" s="147">
        <v>2017.73</v>
      </c>
      <c r="H136" s="147">
        <v>670.07</v>
      </c>
      <c r="I136" s="147">
        <v>513.07000000000005</v>
      </c>
      <c r="J136" s="147">
        <v>186.57</v>
      </c>
      <c r="K136" s="147">
        <v>395.48</v>
      </c>
      <c r="L136" s="147">
        <v>141.24</v>
      </c>
      <c r="M136" s="147">
        <v>593.21</v>
      </c>
      <c r="N136" s="147">
        <v>211.86</v>
      </c>
      <c r="O136" s="147">
        <v>307.85000000000002</v>
      </c>
      <c r="P136" s="147">
        <v>988.69</v>
      </c>
      <c r="Q136" s="147">
        <v>353.1</v>
      </c>
      <c r="R136" s="147">
        <v>564.96</v>
      </c>
      <c r="S136" s="147">
        <v>4926.1000000000004</v>
      </c>
    </row>
    <row r="137" spans="1:19" customFormat="1" x14ac:dyDescent="0.25">
      <c r="A137" s="146" t="s">
        <v>131</v>
      </c>
      <c r="B137" s="146" t="s">
        <v>442</v>
      </c>
      <c r="C137" s="146">
        <v>1</v>
      </c>
      <c r="D137" s="146">
        <v>9</v>
      </c>
      <c r="E137" s="146" t="s">
        <v>21</v>
      </c>
      <c r="F137" s="146">
        <v>28</v>
      </c>
      <c r="G137" s="147">
        <v>330.57</v>
      </c>
      <c r="H137" s="147">
        <v>670.07</v>
      </c>
      <c r="I137" s="147">
        <v>0</v>
      </c>
      <c r="J137" s="147">
        <v>0</v>
      </c>
      <c r="K137" s="147">
        <v>64.790000000000006</v>
      </c>
      <c r="L137" s="147">
        <v>23.14</v>
      </c>
      <c r="M137" s="147">
        <v>97.19</v>
      </c>
      <c r="N137" s="147">
        <v>34.71</v>
      </c>
      <c r="O137" s="147">
        <v>50.44</v>
      </c>
      <c r="P137" s="147">
        <v>161.97999999999999</v>
      </c>
      <c r="Q137" s="147">
        <v>57.85</v>
      </c>
      <c r="R137" s="147">
        <v>92.56</v>
      </c>
      <c r="S137" s="147">
        <v>1252.73</v>
      </c>
    </row>
    <row r="138" spans="1:19" customFormat="1" x14ac:dyDescent="0.25">
      <c r="A138" s="146" t="s">
        <v>443</v>
      </c>
      <c r="B138" s="146" t="s">
        <v>444</v>
      </c>
      <c r="C138" s="146">
        <v>4</v>
      </c>
      <c r="D138" s="146">
        <v>9</v>
      </c>
      <c r="E138" s="146" t="s">
        <v>21</v>
      </c>
      <c r="F138" s="146">
        <v>28</v>
      </c>
      <c r="G138" s="147">
        <v>357.16</v>
      </c>
      <c r="H138" s="147">
        <v>670.07</v>
      </c>
      <c r="I138" s="147">
        <v>1.61</v>
      </c>
      <c r="J138" s="147">
        <v>0.59</v>
      </c>
      <c r="K138" s="147">
        <v>70</v>
      </c>
      <c r="L138" s="147">
        <v>25</v>
      </c>
      <c r="M138" s="147">
        <v>105.01</v>
      </c>
      <c r="N138" s="147">
        <v>37.5</v>
      </c>
      <c r="O138" s="147">
        <v>54.49</v>
      </c>
      <c r="P138" s="147">
        <v>175.01</v>
      </c>
      <c r="Q138" s="147">
        <v>62.5</v>
      </c>
      <c r="R138" s="147">
        <v>100</v>
      </c>
      <c r="S138" s="147">
        <v>1301.78</v>
      </c>
    </row>
    <row r="139" spans="1:19" customFormat="1" x14ac:dyDescent="0.25">
      <c r="A139" s="146" t="s">
        <v>132</v>
      </c>
      <c r="B139" s="146" t="s">
        <v>445</v>
      </c>
      <c r="C139" s="146">
        <v>1</v>
      </c>
      <c r="D139" s="146">
        <v>9</v>
      </c>
      <c r="E139" s="146" t="s">
        <v>21</v>
      </c>
      <c r="F139" s="146">
        <v>28</v>
      </c>
      <c r="G139" s="147">
        <v>330.57</v>
      </c>
      <c r="H139" s="147">
        <v>670.07</v>
      </c>
      <c r="I139" s="147">
        <v>0</v>
      </c>
      <c r="J139" s="147">
        <v>0</v>
      </c>
      <c r="K139" s="147">
        <v>64.790000000000006</v>
      </c>
      <c r="L139" s="147">
        <v>23.14</v>
      </c>
      <c r="M139" s="147">
        <v>97.19</v>
      </c>
      <c r="N139" s="147">
        <v>34.71</v>
      </c>
      <c r="O139" s="147">
        <v>50.44</v>
      </c>
      <c r="P139" s="147">
        <v>161.97999999999999</v>
      </c>
      <c r="Q139" s="147">
        <v>57.85</v>
      </c>
      <c r="R139" s="147">
        <v>92.56</v>
      </c>
      <c r="S139" s="147">
        <v>1252.73</v>
      </c>
    </row>
    <row r="140" spans="1:19" customFormat="1" x14ac:dyDescent="0.25">
      <c r="A140" s="146" t="s">
        <v>133</v>
      </c>
      <c r="B140" s="146" t="s">
        <v>446</v>
      </c>
      <c r="C140" s="146">
        <v>4</v>
      </c>
      <c r="D140" s="146">
        <v>9</v>
      </c>
      <c r="E140" s="146" t="s">
        <v>21</v>
      </c>
      <c r="F140" s="146">
        <v>28</v>
      </c>
      <c r="G140" s="147">
        <v>1314.78</v>
      </c>
      <c r="H140" s="147">
        <v>670.07</v>
      </c>
      <c r="I140" s="147">
        <v>296.56</v>
      </c>
      <c r="J140" s="147">
        <v>107.84</v>
      </c>
      <c r="K140" s="147">
        <v>257.7</v>
      </c>
      <c r="L140" s="147">
        <v>92.03</v>
      </c>
      <c r="M140" s="147">
        <v>386.55</v>
      </c>
      <c r="N140" s="147">
        <v>138.05000000000001</v>
      </c>
      <c r="O140" s="147">
        <v>200.6</v>
      </c>
      <c r="P140" s="147">
        <v>644.24</v>
      </c>
      <c r="Q140" s="147">
        <v>230.09</v>
      </c>
      <c r="R140" s="147">
        <v>368.14</v>
      </c>
      <c r="S140" s="147">
        <v>3391.87</v>
      </c>
    </row>
    <row r="141" spans="1:19" customFormat="1" x14ac:dyDescent="0.25">
      <c r="A141" s="146" t="s">
        <v>134</v>
      </c>
      <c r="B141" s="146" t="s">
        <v>447</v>
      </c>
      <c r="C141" s="146">
        <v>4</v>
      </c>
      <c r="D141" s="146">
        <v>9</v>
      </c>
      <c r="E141" s="146" t="s">
        <v>21</v>
      </c>
      <c r="F141" s="146">
        <v>28</v>
      </c>
      <c r="G141" s="147">
        <v>432.58</v>
      </c>
      <c r="H141" s="147">
        <v>670.07</v>
      </c>
      <c r="I141" s="147">
        <v>24.84</v>
      </c>
      <c r="J141" s="147">
        <v>9.0299999999999994</v>
      </c>
      <c r="K141" s="147">
        <v>84.79</v>
      </c>
      <c r="L141" s="147">
        <v>30.28</v>
      </c>
      <c r="M141" s="147">
        <v>127.18</v>
      </c>
      <c r="N141" s="147">
        <v>45.42</v>
      </c>
      <c r="O141" s="147">
        <v>66</v>
      </c>
      <c r="P141" s="147">
        <v>211.96</v>
      </c>
      <c r="Q141" s="147">
        <v>75.7</v>
      </c>
      <c r="R141" s="147">
        <v>121.12</v>
      </c>
      <c r="S141" s="147">
        <v>1466.39</v>
      </c>
    </row>
    <row r="142" spans="1:19" customFormat="1" x14ac:dyDescent="0.25">
      <c r="A142" s="146" t="s">
        <v>135</v>
      </c>
      <c r="B142" s="146" t="s">
        <v>448</v>
      </c>
      <c r="C142" s="146">
        <v>1</v>
      </c>
      <c r="D142" s="146">
        <v>9</v>
      </c>
      <c r="E142" s="146" t="s">
        <v>21</v>
      </c>
      <c r="F142" s="146">
        <v>28</v>
      </c>
      <c r="G142" s="147">
        <v>330.57</v>
      </c>
      <c r="H142" s="147">
        <v>670.07</v>
      </c>
      <c r="I142" s="147">
        <v>0</v>
      </c>
      <c r="J142" s="147">
        <v>0</v>
      </c>
      <c r="K142" s="147">
        <v>64.790000000000006</v>
      </c>
      <c r="L142" s="147">
        <v>23.14</v>
      </c>
      <c r="M142" s="147">
        <v>97.19</v>
      </c>
      <c r="N142" s="147">
        <v>34.71</v>
      </c>
      <c r="O142" s="147">
        <v>50.44</v>
      </c>
      <c r="P142" s="147">
        <v>161.97999999999999</v>
      </c>
      <c r="Q142" s="147">
        <v>57.85</v>
      </c>
      <c r="R142" s="147">
        <v>92.56</v>
      </c>
      <c r="S142" s="147">
        <v>1252.73</v>
      </c>
    </row>
    <row r="143" spans="1:19" customFormat="1" x14ac:dyDescent="0.25">
      <c r="A143" s="146" t="s">
        <v>136</v>
      </c>
      <c r="B143" s="146" t="s">
        <v>449</v>
      </c>
      <c r="C143" s="146">
        <v>4</v>
      </c>
      <c r="D143" s="146">
        <v>9</v>
      </c>
      <c r="E143" s="146" t="s">
        <v>21</v>
      </c>
      <c r="F143" s="146">
        <v>28</v>
      </c>
      <c r="G143" s="147">
        <v>466.41</v>
      </c>
      <c r="H143" s="147">
        <v>670.07</v>
      </c>
      <c r="I143" s="147">
        <v>35.26</v>
      </c>
      <c r="J143" s="147">
        <v>12.82</v>
      </c>
      <c r="K143" s="147">
        <v>91.42</v>
      </c>
      <c r="L143" s="147">
        <v>32.65</v>
      </c>
      <c r="M143" s="147">
        <v>137.12</v>
      </c>
      <c r="N143" s="147">
        <v>48.97</v>
      </c>
      <c r="O143" s="147">
        <v>71.16</v>
      </c>
      <c r="P143" s="147">
        <v>228.54</v>
      </c>
      <c r="Q143" s="147">
        <v>81.62</v>
      </c>
      <c r="R143" s="147">
        <v>130.59</v>
      </c>
      <c r="S143" s="147">
        <v>1540.22</v>
      </c>
    </row>
    <row r="144" spans="1:19" customFormat="1" x14ac:dyDescent="0.25">
      <c r="A144" s="146" t="s">
        <v>137</v>
      </c>
      <c r="B144" s="146" t="s">
        <v>450</v>
      </c>
      <c r="C144" s="146">
        <v>4</v>
      </c>
      <c r="D144" s="146">
        <v>9</v>
      </c>
      <c r="E144" s="146" t="s">
        <v>21</v>
      </c>
      <c r="F144" s="146">
        <v>28</v>
      </c>
      <c r="G144" s="147">
        <v>541.30999999999995</v>
      </c>
      <c r="H144" s="147">
        <v>670.07</v>
      </c>
      <c r="I144" s="147">
        <v>58.33</v>
      </c>
      <c r="J144" s="147">
        <v>21.21</v>
      </c>
      <c r="K144" s="147">
        <v>106.1</v>
      </c>
      <c r="L144" s="147">
        <v>37.89</v>
      </c>
      <c r="M144" s="147">
        <v>159.15</v>
      </c>
      <c r="N144" s="147">
        <v>56.84</v>
      </c>
      <c r="O144" s="147">
        <v>82.59</v>
      </c>
      <c r="P144" s="147">
        <v>265.24</v>
      </c>
      <c r="Q144" s="147">
        <v>94.73</v>
      </c>
      <c r="R144" s="147">
        <v>151.57</v>
      </c>
      <c r="S144" s="147">
        <v>1703.72</v>
      </c>
    </row>
    <row r="145" spans="1:19" customFormat="1" x14ac:dyDescent="0.25">
      <c r="A145" s="146" t="s">
        <v>138</v>
      </c>
      <c r="B145" s="146" t="s">
        <v>451</v>
      </c>
      <c r="C145" s="146">
        <v>1</v>
      </c>
      <c r="D145" s="146">
        <v>9</v>
      </c>
      <c r="E145" s="146" t="s">
        <v>21</v>
      </c>
      <c r="F145" s="146">
        <v>28</v>
      </c>
      <c r="G145" s="147">
        <v>330.57</v>
      </c>
      <c r="H145" s="147">
        <v>670.07</v>
      </c>
      <c r="I145" s="147">
        <v>0</v>
      </c>
      <c r="J145" s="147">
        <v>0</v>
      </c>
      <c r="K145" s="147">
        <v>64.790000000000006</v>
      </c>
      <c r="L145" s="147">
        <v>23.14</v>
      </c>
      <c r="M145" s="147">
        <v>97.19</v>
      </c>
      <c r="N145" s="147">
        <v>34.71</v>
      </c>
      <c r="O145" s="147">
        <v>50.44</v>
      </c>
      <c r="P145" s="147">
        <v>161.97999999999999</v>
      </c>
      <c r="Q145" s="147">
        <v>57.85</v>
      </c>
      <c r="R145" s="147">
        <v>92.56</v>
      </c>
      <c r="S145" s="147">
        <v>1252.73</v>
      </c>
    </row>
    <row r="146" spans="1:19" customFormat="1" x14ac:dyDescent="0.25">
      <c r="A146" s="146" t="s">
        <v>139</v>
      </c>
      <c r="B146" s="146" t="s">
        <v>452</v>
      </c>
      <c r="C146" s="146">
        <v>4</v>
      </c>
      <c r="D146" s="146">
        <v>9</v>
      </c>
      <c r="E146" s="146" t="s">
        <v>21</v>
      </c>
      <c r="F146" s="146">
        <v>28</v>
      </c>
      <c r="G146" s="147">
        <v>722.35</v>
      </c>
      <c r="H146" s="147">
        <v>670.07</v>
      </c>
      <c r="I146" s="147">
        <v>114.09</v>
      </c>
      <c r="J146" s="147">
        <v>41.49</v>
      </c>
      <c r="K146" s="147">
        <v>141.58000000000001</v>
      </c>
      <c r="L146" s="147">
        <v>50.56</v>
      </c>
      <c r="M146" s="147">
        <v>212.37</v>
      </c>
      <c r="N146" s="147">
        <v>75.849999999999994</v>
      </c>
      <c r="O146" s="147">
        <v>110.21</v>
      </c>
      <c r="P146" s="147">
        <v>353.95</v>
      </c>
      <c r="Q146" s="147">
        <v>126.41</v>
      </c>
      <c r="R146" s="147">
        <v>202.26</v>
      </c>
      <c r="S146" s="147">
        <v>2098.84</v>
      </c>
    </row>
    <row r="147" spans="1:19" customFormat="1" x14ac:dyDescent="0.25">
      <c r="A147" s="146" t="s">
        <v>140</v>
      </c>
      <c r="B147" s="146" t="s">
        <v>453</v>
      </c>
      <c r="C147" s="146">
        <v>4</v>
      </c>
      <c r="D147" s="146">
        <v>9</v>
      </c>
      <c r="E147" s="146" t="s">
        <v>21</v>
      </c>
      <c r="F147" s="146">
        <v>28</v>
      </c>
      <c r="G147" s="147">
        <v>1125.71</v>
      </c>
      <c r="H147" s="147">
        <v>670.07</v>
      </c>
      <c r="I147" s="147">
        <v>238.32</v>
      </c>
      <c r="J147" s="147">
        <v>86.66</v>
      </c>
      <c r="K147" s="147">
        <v>220.64</v>
      </c>
      <c r="L147" s="147">
        <v>78.8</v>
      </c>
      <c r="M147" s="147">
        <v>330.96</v>
      </c>
      <c r="N147" s="147">
        <v>118.2</v>
      </c>
      <c r="O147" s="147">
        <v>171.75</v>
      </c>
      <c r="P147" s="147">
        <v>551.6</v>
      </c>
      <c r="Q147" s="147">
        <v>197</v>
      </c>
      <c r="R147" s="147">
        <v>315.2</v>
      </c>
      <c r="S147" s="147">
        <v>2979.2</v>
      </c>
    </row>
    <row r="148" spans="1:19" customFormat="1" x14ac:dyDescent="0.25">
      <c r="A148" s="146" t="s">
        <v>141</v>
      </c>
      <c r="B148" s="146" t="s">
        <v>454</v>
      </c>
      <c r="C148" s="146">
        <v>4</v>
      </c>
      <c r="D148" s="146">
        <v>9</v>
      </c>
      <c r="E148" s="146" t="s">
        <v>21</v>
      </c>
      <c r="F148" s="146">
        <v>28</v>
      </c>
      <c r="G148" s="147">
        <v>1907.6</v>
      </c>
      <c r="H148" s="147">
        <v>670.07</v>
      </c>
      <c r="I148" s="147">
        <v>479.15</v>
      </c>
      <c r="J148" s="147">
        <v>174.24</v>
      </c>
      <c r="K148" s="147">
        <v>373.89</v>
      </c>
      <c r="L148" s="147">
        <v>133.53</v>
      </c>
      <c r="M148" s="147">
        <v>560.83000000000004</v>
      </c>
      <c r="N148" s="147">
        <v>200.3</v>
      </c>
      <c r="O148" s="147">
        <v>291.05</v>
      </c>
      <c r="P148" s="147">
        <v>934.72</v>
      </c>
      <c r="Q148" s="147">
        <v>333.83</v>
      </c>
      <c r="R148" s="147">
        <v>534.13</v>
      </c>
      <c r="S148" s="147">
        <v>4685.74</v>
      </c>
    </row>
    <row r="149" spans="1:19" customFormat="1" x14ac:dyDescent="0.25">
      <c r="A149" s="146" t="s">
        <v>142</v>
      </c>
      <c r="B149" s="146" t="s">
        <v>455</v>
      </c>
      <c r="C149" s="146">
        <v>4</v>
      </c>
      <c r="D149" s="146">
        <v>9</v>
      </c>
      <c r="E149" s="146" t="s">
        <v>21</v>
      </c>
      <c r="F149" s="146">
        <v>28</v>
      </c>
      <c r="G149" s="147">
        <v>1273.52</v>
      </c>
      <c r="H149" s="147">
        <v>670.07</v>
      </c>
      <c r="I149" s="147">
        <v>283.85000000000002</v>
      </c>
      <c r="J149" s="147">
        <v>103.22</v>
      </c>
      <c r="K149" s="147">
        <v>249.61</v>
      </c>
      <c r="L149" s="147">
        <v>89.15</v>
      </c>
      <c r="M149" s="147">
        <v>374.41</v>
      </c>
      <c r="N149" s="147">
        <v>133.72</v>
      </c>
      <c r="O149" s="147">
        <v>194.31</v>
      </c>
      <c r="P149" s="147">
        <v>624.02</v>
      </c>
      <c r="Q149" s="147">
        <v>222.87</v>
      </c>
      <c r="R149" s="147">
        <v>356.59</v>
      </c>
      <c r="S149" s="147">
        <v>3301.82</v>
      </c>
    </row>
    <row r="150" spans="1:19" customFormat="1" x14ac:dyDescent="0.25">
      <c r="A150" s="146" t="s">
        <v>143</v>
      </c>
      <c r="B150" s="146" t="s">
        <v>456</v>
      </c>
      <c r="C150" s="146">
        <v>4</v>
      </c>
      <c r="D150" s="146">
        <v>9</v>
      </c>
      <c r="E150" s="146" t="s">
        <v>21</v>
      </c>
      <c r="F150" s="146">
        <v>28</v>
      </c>
      <c r="G150" s="147">
        <v>2828.5</v>
      </c>
      <c r="H150" s="147">
        <v>670.07</v>
      </c>
      <c r="I150" s="147">
        <v>762.78</v>
      </c>
      <c r="J150" s="147">
        <v>277.38</v>
      </c>
      <c r="K150" s="147">
        <v>554.39</v>
      </c>
      <c r="L150" s="147">
        <v>198</v>
      </c>
      <c r="M150" s="147">
        <v>831.58</v>
      </c>
      <c r="N150" s="147">
        <v>296.99</v>
      </c>
      <c r="O150" s="147">
        <v>431.56</v>
      </c>
      <c r="P150" s="147">
        <v>1385.97</v>
      </c>
      <c r="Q150" s="147">
        <v>494.99</v>
      </c>
      <c r="R150" s="147">
        <v>791.98</v>
      </c>
      <c r="S150" s="147">
        <v>6695.69</v>
      </c>
    </row>
    <row r="151" spans="1:19" customFormat="1" x14ac:dyDescent="0.25">
      <c r="A151" s="146" t="s">
        <v>144</v>
      </c>
      <c r="B151" s="146" t="s">
        <v>457</v>
      </c>
      <c r="C151" s="146">
        <v>4</v>
      </c>
      <c r="D151" s="146">
        <v>9</v>
      </c>
      <c r="E151" s="146" t="s">
        <v>21</v>
      </c>
      <c r="F151" s="146">
        <v>28</v>
      </c>
      <c r="G151" s="147">
        <v>492.57</v>
      </c>
      <c r="H151" s="147">
        <v>670.07</v>
      </c>
      <c r="I151" s="147">
        <v>43.32</v>
      </c>
      <c r="J151" s="147">
        <v>15.75</v>
      </c>
      <c r="K151" s="147">
        <v>96.54</v>
      </c>
      <c r="L151" s="147">
        <v>34.479999999999997</v>
      </c>
      <c r="M151" s="147">
        <v>144.82</v>
      </c>
      <c r="N151" s="147">
        <v>51.72</v>
      </c>
      <c r="O151" s="147">
        <v>75.150000000000006</v>
      </c>
      <c r="P151" s="147">
        <v>241.36</v>
      </c>
      <c r="Q151" s="147">
        <v>86.2</v>
      </c>
      <c r="R151" s="147">
        <v>137.91999999999999</v>
      </c>
      <c r="S151" s="147">
        <v>1597.33</v>
      </c>
    </row>
    <row r="152" spans="1:19" customFormat="1" x14ac:dyDescent="0.25">
      <c r="A152" s="146" t="s">
        <v>145</v>
      </c>
      <c r="B152" s="146" t="s">
        <v>458</v>
      </c>
      <c r="C152" s="146">
        <v>4</v>
      </c>
      <c r="D152" s="146">
        <v>9</v>
      </c>
      <c r="E152" s="146" t="s">
        <v>21</v>
      </c>
      <c r="F152" s="146">
        <v>28</v>
      </c>
      <c r="G152" s="147">
        <v>1913.62</v>
      </c>
      <c r="H152" s="147">
        <v>670.07</v>
      </c>
      <c r="I152" s="147">
        <v>481</v>
      </c>
      <c r="J152" s="147">
        <v>174.91</v>
      </c>
      <c r="K152" s="147">
        <v>375.07</v>
      </c>
      <c r="L152" s="147">
        <v>133.94999999999999</v>
      </c>
      <c r="M152" s="147">
        <v>562.6</v>
      </c>
      <c r="N152" s="147">
        <v>200.93</v>
      </c>
      <c r="O152" s="147">
        <v>291.97000000000003</v>
      </c>
      <c r="P152" s="147">
        <v>937.67</v>
      </c>
      <c r="Q152" s="147">
        <v>334.88</v>
      </c>
      <c r="R152" s="147">
        <v>535.80999999999995</v>
      </c>
      <c r="S152" s="147">
        <v>4698.8599999999997</v>
      </c>
    </row>
    <row r="153" spans="1:19" customFormat="1" x14ac:dyDescent="0.25">
      <c r="A153" s="146" t="s">
        <v>146</v>
      </c>
      <c r="B153" s="146" t="s">
        <v>459</v>
      </c>
      <c r="C153" s="146">
        <v>4</v>
      </c>
      <c r="D153" s="146">
        <v>9</v>
      </c>
      <c r="E153" s="146" t="s">
        <v>21</v>
      </c>
      <c r="F153" s="146">
        <v>28</v>
      </c>
      <c r="G153" s="147">
        <v>465.43</v>
      </c>
      <c r="H153" s="147">
        <v>670.07</v>
      </c>
      <c r="I153" s="147">
        <v>34.96</v>
      </c>
      <c r="J153" s="147">
        <v>12.71</v>
      </c>
      <c r="K153" s="147">
        <v>91.22</v>
      </c>
      <c r="L153" s="147">
        <v>32.58</v>
      </c>
      <c r="M153" s="147">
        <v>136.84</v>
      </c>
      <c r="N153" s="147">
        <v>48.87</v>
      </c>
      <c r="O153" s="147">
        <v>71.010000000000005</v>
      </c>
      <c r="P153" s="147">
        <v>228.06</v>
      </c>
      <c r="Q153" s="147">
        <v>81.45</v>
      </c>
      <c r="R153" s="147">
        <v>130.32</v>
      </c>
      <c r="S153" s="147">
        <v>1538.09</v>
      </c>
    </row>
    <row r="154" spans="1:19" customFormat="1" x14ac:dyDescent="0.25">
      <c r="A154" s="146" t="s">
        <v>147</v>
      </c>
      <c r="B154" s="146" t="s">
        <v>460</v>
      </c>
      <c r="C154" s="146">
        <v>4</v>
      </c>
      <c r="D154" s="146">
        <v>9</v>
      </c>
      <c r="E154" s="146" t="s">
        <v>21</v>
      </c>
      <c r="F154" s="146">
        <v>28</v>
      </c>
      <c r="G154" s="147">
        <v>2479.75</v>
      </c>
      <c r="H154" s="147">
        <v>670.07</v>
      </c>
      <c r="I154" s="147">
        <v>655.37</v>
      </c>
      <c r="J154" s="147">
        <v>238.32</v>
      </c>
      <c r="K154" s="147">
        <v>486.03</v>
      </c>
      <c r="L154" s="147">
        <v>173.58</v>
      </c>
      <c r="M154" s="147">
        <v>729.05</v>
      </c>
      <c r="N154" s="147">
        <v>260.37</v>
      </c>
      <c r="O154" s="147">
        <v>378.35</v>
      </c>
      <c r="P154" s="147">
        <v>1215.08</v>
      </c>
      <c r="Q154" s="147">
        <v>433.96</v>
      </c>
      <c r="R154" s="147">
        <v>694.33</v>
      </c>
      <c r="S154" s="147">
        <v>5934.51</v>
      </c>
    </row>
    <row r="155" spans="1:19" customFormat="1" x14ac:dyDescent="0.25">
      <c r="A155" s="146" t="s">
        <v>461</v>
      </c>
      <c r="B155" s="146" t="s">
        <v>462</v>
      </c>
      <c r="C155" s="146">
        <v>4</v>
      </c>
      <c r="D155" s="146">
        <v>9</v>
      </c>
      <c r="E155" s="146" t="s">
        <v>21</v>
      </c>
      <c r="F155" s="146">
        <v>28</v>
      </c>
      <c r="G155" s="147">
        <v>341.61</v>
      </c>
      <c r="H155" s="147">
        <v>670.07</v>
      </c>
      <c r="I155" s="147">
        <v>0</v>
      </c>
      <c r="J155" s="147">
        <v>0</v>
      </c>
      <c r="K155" s="147">
        <v>66.959999999999994</v>
      </c>
      <c r="L155" s="147">
        <v>23.91</v>
      </c>
      <c r="M155" s="147">
        <v>100.43</v>
      </c>
      <c r="N155" s="147">
        <v>35.869999999999997</v>
      </c>
      <c r="O155" s="147">
        <v>52.12</v>
      </c>
      <c r="P155" s="147">
        <v>167.39</v>
      </c>
      <c r="Q155" s="147">
        <v>59.78</v>
      </c>
      <c r="R155" s="147">
        <v>95.65</v>
      </c>
      <c r="S155" s="147">
        <v>1272.18</v>
      </c>
    </row>
    <row r="156" spans="1:19" customFormat="1" x14ac:dyDescent="0.25">
      <c r="A156" s="146" t="s">
        <v>463</v>
      </c>
      <c r="B156" s="146" t="s">
        <v>464</v>
      </c>
      <c r="C156" s="146">
        <v>4</v>
      </c>
      <c r="D156" s="146">
        <v>9</v>
      </c>
      <c r="E156" s="146" t="s">
        <v>21</v>
      </c>
      <c r="F156" s="146">
        <v>28</v>
      </c>
      <c r="G156" s="147">
        <v>356.04</v>
      </c>
      <c r="H156" s="147">
        <v>670.07</v>
      </c>
      <c r="I156" s="147">
        <v>1.27</v>
      </c>
      <c r="J156" s="147">
        <v>0.46</v>
      </c>
      <c r="K156" s="147">
        <v>69.78</v>
      </c>
      <c r="L156" s="147">
        <v>24.92</v>
      </c>
      <c r="M156" s="147">
        <v>104.68</v>
      </c>
      <c r="N156" s="147">
        <v>37.380000000000003</v>
      </c>
      <c r="O156" s="147">
        <v>54.32</v>
      </c>
      <c r="P156" s="147">
        <v>174.46</v>
      </c>
      <c r="Q156" s="147">
        <v>62.31</v>
      </c>
      <c r="R156" s="147">
        <v>99.69</v>
      </c>
      <c r="S156" s="147">
        <v>1299.3399999999999</v>
      </c>
    </row>
    <row r="157" spans="1:19" customFormat="1" x14ac:dyDescent="0.25">
      <c r="A157" s="146" t="s">
        <v>148</v>
      </c>
      <c r="B157" s="146" t="s">
        <v>465</v>
      </c>
      <c r="C157" s="146">
        <v>4</v>
      </c>
      <c r="D157" s="146">
        <v>9</v>
      </c>
      <c r="E157" s="146" t="s">
        <v>21</v>
      </c>
      <c r="F157" s="146">
        <v>28</v>
      </c>
      <c r="G157" s="147">
        <v>435.79</v>
      </c>
      <c r="H157" s="147">
        <v>670.07</v>
      </c>
      <c r="I157" s="147">
        <v>25.83</v>
      </c>
      <c r="J157" s="147">
        <v>9.39</v>
      </c>
      <c r="K157" s="147">
        <v>85.41</v>
      </c>
      <c r="L157" s="147">
        <v>30.51</v>
      </c>
      <c r="M157" s="147">
        <v>128.12</v>
      </c>
      <c r="N157" s="147">
        <v>45.76</v>
      </c>
      <c r="O157" s="147">
        <v>66.489999999999995</v>
      </c>
      <c r="P157" s="147">
        <v>213.54</v>
      </c>
      <c r="Q157" s="147">
        <v>76.260000000000005</v>
      </c>
      <c r="R157" s="147">
        <v>122.02</v>
      </c>
      <c r="S157" s="147">
        <v>1473.4</v>
      </c>
    </row>
    <row r="158" spans="1:19" customFormat="1" x14ac:dyDescent="0.25">
      <c r="A158" s="146" t="s">
        <v>149</v>
      </c>
      <c r="B158" s="146" t="s">
        <v>466</v>
      </c>
      <c r="C158" s="146">
        <v>4</v>
      </c>
      <c r="D158" s="146">
        <v>9</v>
      </c>
      <c r="E158" s="146" t="s">
        <v>21</v>
      </c>
      <c r="F158" s="146">
        <v>28</v>
      </c>
      <c r="G158" s="147">
        <v>466.41</v>
      </c>
      <c r="H158" s="147">
        <v>670.07</v>
      </c>
      <c r="I158" s="147">
        <v>35.26</v>
      </c>
      <c r="J158" s="147">
        <v>12.82</v>
      </c>
      <c r="K158" s="147">
        <v>91.42</v>
      </c>
      <c r="L158" s="147">
        <v>32.65</v>
      </c>
      <c r="M158" s="147">
        <v>137.12</v>
      </c>
      <c r="N158" s="147">
        <v>48.97</v>
      </c>
      <c r="O158" s="147">
        <v>71.16</v>
      </c>
      <c r="P158" s="147">
        <v>228.54</v>
      </c>
      <c r="Q158" s="147">
        <v>81.62</v>
      </c>
      <c r="R158" s="147">
        <v>130.59</v>
      </c>
      <c r="S158" s="147">
        <v>1540.22</v>
      </c>
    </row>
    <row r="159" spans="1:19" customFormat="1" x14ac:dyDescent="0.25">
      <c r="A159" s="146" t="s">
        <v>150</v>
      </c>
      <c r="B159" s="146" t="s">
        <v>467</v>
      </c>
      <c r="C159" s="146">
        <v>1</v>
      </c>
      <c r="D159" s="146">
        <v>9</v>
      </c>
      <c r="E159" s="146" t="s">
        <v>21</v>
      </c>
      <c r="F159" s="146">
        <v>28</v>
      </c>
      <c r="G159" s="147">
        <v>330.57</v>
      </c>
      <c r="H159" s="147">
        <v>670.07</v>
      </c>
      <c r="I159" s="147">
        <v>0</v>
      </c>
      <c r="J159" s="147">
        <v>0</v>
      </c>
      <c r="K159" s="147">
        <v>64.790000000000006</v>
      </c>
      <c r="L159" s="147">
        <v>23.14</v>
      </c>
      <c r="M159" s="147">
        <v>97.19</v>
      </c>
      <c r="N159" s="147">
        <v>34.71</v>
      </c>
      <c r="O159" s="147">
        <v>50.44</v>
      </c>
      <c r="P159" s="147">
        <v>161.97999999999999</v>
      </c>
      <c r="Q159" s="147">
        <v>57.85</v>
      </c>
      <c r="R159" s="147">
        <v>92.56</v>
      </c>
      <c r="S159" s="147">
        <v>1252.73</v>
      </c>
    </row>
    <row r="160" spans="1:19" customFormat="1" x14ac:dyDescent="0.25">
      <c r="A160" s="146" t="s">
        <v>151</v>
      </c>
      <c r="B160" s="146" t="s">
        <v>468</v>
      </c>
      <c r="C160" s="146">
        <v>4</v>
      </c>
      <c r="D160" s="146">
        <v>9</v>
      </c>
      <c r="E160" s="146" t="s">
        <v>21</v>
      </c>
      <c r="F160" s="146">
        <v>28</v>
      </c>
      <c r="G160" s="147">
        <v>408.27</v>
      </c>
      <c r="H160" s="147">
        <v>670.07</v>
      </c>
      <c r="I160" s="147">
        <v>17.350000000000001</v>
      </c>
      <c r="J160" s="147">
        <v>6.31</v>
      </c>
      <c r="K160" s="147">
        <v>80.02</v>
      </c>
      <c r="L160" s="147">
        <v>28.58</v>
      </c>
      <c r="M160" s="147">
        <v>120.03</v>
      </c>
      <c r="N160" s="147">
        <v>42.87</v>
      </c>
      <c r="O160" s="147">
        <v>62.29</v>
      </c>
      <c r="P160" s="147">
        <v>200.05</v>
      </c>
      <c r="Q160" s="147">
        <v>71.45</v>
      </c>
      <c r="R160" s="147">
        <v>114.32</v>
      </c>
      <c r="S160" s="147">
        <v>1413.34</v>
      </c>
    </row>
    <row r="161" spans="1:19" customFormat="1" x14ac:dyDescent="0.25">
      <c r="A161" s="146" t="s">
        <v>469</v>
      </c>
      <c r="B161" s="146" t="s">
        <v>470</v>
      </c>
      <c r="C161" s="146">
        <v>1</v>
      </c>
      <c r="D161" s="146">
        <v>9</v>
      </c>
      <c r="E161" s="146" t="s">
        <v>21</v>
      </c>
      <c r="F161" s="146">
        <v>28</v>
      </c>
      <c r="G161" s="147">
        <v>330.57</v>
      </c>
      <c r="H161" s="147">
        <v>670.07</v>
      </c>
      <c r="I161" s="147">
        <v>0</v>
      </c>
      <c r="J161" s="147">
        <v>0</v>
      </c>
      <c r="K161" s="147">
        <v>64.790000000000006</v>
      </c>
      <c r="L161" s="147">
        <v>23.14</v>
      </c>
      <c r="M161" s="147">
        <v>97.19</v>
      </c>
      <c r="N161" s="147">
        <v>34.71</v>
      </c>
      <c r="O161" s="147">
        <v>50.44</v>
      </c>
      <c r="P161" s="147">
        <v>161.97999999999999</v>
      </c>
      <c r="Q161" s="147">
        <v>57.85</v>
      </c>
      <c r="R161" s="147">
        <v>92.56</v>
      </c>
      <c r="S161" s="147">
        <v>1252.73</v>
      </c>
    </row>
    <row r="162" spans="1:19" customFormat="1" x14ac:dyDescent="0.25">
      <c r="A162" s="146" t="s">
        <v>152</v>
      </c>
      <c r="B162" s="146" t="s">
        <v>471</v>
      </c>
      <c r="C162" s="146">
        <v>4</v>
      </c>
      <c r="D162" s="146">
        <v>9</v>
      </c>
      <c r="E162" s="146" t="s">
        <v>21</v>
      </c>
      <c r="F162" s="146">
        <v>28</v>
      </c>
      <c r="G162" s="147">
        <v>630.26</v>
      </c>
      <c r="H162" s="147">
        <v>670.07</v>
      </c>
      <c r="I162" s="147">
        <v>85.73</v>
      </c>
      <c r="J162" s="147">
        <v>31.17</v>
      </c>
      <c r="K162" s="147">
        <v>123.53</v>
      </c>
      <c r="L162" s="147">
        <v>44.12</v>
      </c>
      <c r="M162" s="147">
        <v>185.3</v>
      </c>
      <c r="N162" s="147">
        <v>66.180000000000007</v>
      </c>
      <c r="O162" s="147">
        <v>96.16</v>
      </c>
      <c r="P162" s="147">
        <v>308.83</v>
      </c>
      <c r="Q162" s="147">
        <v>110.3</v>
      </c>
      <c r="R162" s="147">
        <v>176.47</v>
      </c>
      <c r="S162" s="147">
        <v>1897.86</v>
      </c>
    </row>
    <row r="163" spans="1:19" customFormat="1" x14ac:dyDescent="0.25">
      <c r="A163" s="146" t="s">
        <v>153</v>
      </c>
      <c r="B163" s="146" t="s">
        <v>472</v>
      </c>
      <c r="C163" s="146">
        <v>4</v>
      </c>
      <c r="D163" s="146">
        <v>9</v>
      </c>
      <c r="E163" s="146" t="s">
        <v>21</v>
      </c>
      <c r="F163" s="146">
        <v>28</v>
      </c>
      <c r="G163" s="147">
        <v>457.01</v>
      </c>
      <c r="H163" s="147">
        <v>670.07</v>
      </c>
      <c r="I163" s="147">
        <v>32.36</v>
      </c>
      <c r="J163" s="147">
        <v>11.77</v>
      </c>
      <c r="K163" s="147">
        <v>89.57</v>
      </c>
      <c r="L163" s="147">
        <v>31.99</v>
      </c>
      <c r="M163" s="147">
        <v>134.36000000000001</v>
      </c>
      <c r="N163" s="147">
        <v>47.99</v>
      </c>
      <c r="O163" s="147">
        <v>69.73</v>
      </c>
      <c r="P163" s="147">
        <v>223.93</v>
      </c>
      <c r="Q163" s="147">
        <v>79.98</v>
      </c>
      <c r="R163" s="147">
        <v>127.96</v>
      </c>
      <c r="S163" s="147">
        <v>1519.71</v>
      </c>
    </row>
    <row r="164" spans="1:19" customFormat="1" x14ac:dyDescent="0.25">
      <c r="A164" s="146" t="s">
        <v>473</v>
      </c>
      <c r="B164" s="146" t="s">
        <v>474</v>
      </c>
      <c r="C164" s="146">
        <v>1</v>
      </c>
      <c r="D164" s="146">
        <v>9</v>
      </c>
      <c r="E164" s="146" t="s">
        <v>21</v>
      </c>
      <c r="F164" s="146">
        <v>28</v>
      </c>
      <c r="G164" s="147">
        <v>330.57</v>
      </c>
      <c r="H164" s="147">
        <v>670.07</v>
      </c>
      <c r="I164" s="147">
        <v>0</v>
      </c>
      <c r="J164" s="147">
        <v>0</v>
      </c>
      <c r="K164" s="147">
        <v>64.790000000000006</v>
      </c>
      <c r="L164" s="147">
        <v>23.14</v>
      </c>
      <c r="M164" s="147">
        <v>97.19</v>
      </c>
      <c r="N164" s="147">
        <v>34.71</v>
      </c>
      <c r="O164" s="147">
        <v>50.44</v>
      </c>
      <c r="P164" s="147">
        <v>161.97999999999999</v>
      </c>
      <c r="Q164" s="147">
        <v>57.85</v>
      </c>
      <c r="R164" s="147">
        <v>92.56</v>
      </c>
      <c r="S164" s="147">
        <v>1252.73</v>
      </c>
    </row>
    <row r="165" spans="1:19" customFormat="1" x14ac:dyDescent="0.25">
      <c r="A165" s="146" t="s">
        <v>154</v>
      </c>
      <c r="B165" s="146" t="s">
        <v>475</v>
      </c>
      <c r="C165" s="146">
        <v>1</v>
      </c>
      <c r="D165" s="146">
        <v>9</v>
      </c>
      <c r="E165" s="146" t="s">
        <v>21</v>
      </c>
      <c r="F165" s="146">
        <v>28</v>
      </c>
      <c r="G165" s="147">
        <v>330.57</v>
      </c>
      <c r="H165" s="147">
        <v>670.07</v>
      </c>
      <c r="I165" s="147">
        <v>0</v>
      </c>
      <c r="J165" s="147">
        <v>0</v>
      </c>
      <c r="K165" s="147">
        <v>64.790000000000006</v>
      </c>
      <c r="L165" s="147">
        <v>23.14</v>
      </c>
      <c r="M165" s="147">
        <v>97.19</v>
      </c>
      <c r="N165" s="147">
        <v>34.71</v>
      </c>
      <c r="O165" s="147">
        <v>50.44</v>
      </c>
      <c r="P165" s="147">
        <v>161.97999999999999</v>
      </c>
      <c r="Q165" s="147">
        <v>57.85</v>
      </c>
      <c r="R165" s="147">
        <v>92.56</v>
      </c>
      <c r="S165" s="147">
        <v>1252.73</v>
      </c>
    </row>
    <row r="166" spans="1:19" customFormat="1" x14ac:dyDescent="0.25">
      <c r="A166" s="146" t="s">
        <v>155</v>
      </c>
      <c r="B166" s="146" t="s">
        <v>476</v>
      </c>
      <c r="C166" s="146">
        <v>4</v>
      </c>
      <c r="D166" s="146">
        <v>9</v>
      </c>
      <c r="E166" s="146" t="s">
        <v>21</v>
      </c>
      <c r="F166" s="146">
        <v>28</v>
      </c>
      <c r="G166" s="147">
        <v>460.14</v>
      </c>
      <c r="H166" s="147">
        <v>670.07</v>
      </c>
      <c r="I166" s="147">
        <v>33.33</v>
      </c>
      <c r="J166" s="147">
        <v>12.12</v>
      </c>
      <c r="K166" s="147">
        <v>90.19</v>
      </c>
      <c r="L166" s="147">
        <v>32.21</v>
      </c>
      <c r="M166" s="147">
        <v>135.28</v>
      </c>
      <c r="N166" s="147">
        <v>48.31</v>
      </c>
      <c r="O166" s="147">
        <v>70.209999999999994</v>
      </c>
      <c r="P166" s="147">
        <v>225.47</v>
      </c>
      <c r="Q166" s="147">
        <v>80.52</v>
      </c>
      <c r="R166" s="147">
        <v>128.84</v>
      </c>
      <c r="S166" s="147">
        <v>1526.55</v>
      </c>
    </row>
    <row r="167" spans="1:19" customFormat="1" x14ac:dyDescent="0.25">
      <c r="A167" s="146" t="s">
        <v>477</v>
      </c>
      <c r="B167" s="146" t="s">
        <v>478</v>
      </c>
      <c r="C167" s="146">
        <v>4</v>
      </c>
      <c r="D167" s="146">
        <v>9</v>
      </c>
      <c r="E167" s="146" t="s">
        <v>21</v>
      </c>
      <c r="F167" s="146">
        <v>28</v>
      </c>
      <c r="G167" s="147">
        <v>357.16</v>
      </c>
      <c r="H167" s="147">
        <v>670.07</v>
      </c>
      <c r="I167" s="147">
        <v>1.61</v>
      </c>
      <c r="J167" s="147">
        <v>0.59</v>
      </c>
      <c r="K167" s="147">
        <v>70</v>
      </c>
      <c r="L167" s="147">
        <v>25</v>
      </c>
      <c r="M167" s="147">
        <v>105.01</v>
      </c>
      <c r="N167" s="147">
        <v>37.5</v>
      </c>
      <c r="O167" s="147">
        <v>54.49</v>
      </c>
      <c r="P167" s="147">
        <v>175.01</v>
      </c>
      <c r="Q167" s="147">
        <v>62.5</v>
      </c>
      <c r="R167" s="147">
        <v>100</v>
      </c>
      <c r="S167" s="147">
        <v>1301.78</v>
      </c>
    </row>
    <row r="168" spans="1:19" customFormat="1" x14ac:dyDescent="0.25">
      <c r="A168" s="146" t="s">
        <v>479</v>
      </c>
      <c r="B168" s="146" t="s">
        <v>480</v>
      </c>
      <c r="C168" s="146">
        <v>4</v>
      </c>
      <c r="D168" s="146">
        <v>9</v>
      </c>
      <c r="E168" s="146" t="s">
        <v>21</v>
      </c>
      <c r="F168" s="146">
        <v>28</v>
      </c>
      <c r="G168" s="147">
        <v>332.41</v>
      </c>
      <c r="H168" s="147">
        <v>670.07</v>
      </c>
      <c r="I168" s="147">
        <v>0</v>
      </c>
      <c r="J168" s="147">
        <v>0</v>
      </c>
      <c r="K168" s="147">
        <v>65.150000000000006</v>
      </c>
      <c r="L168" s="147">
        <v>23.27</v>
      </c>
      <c r="M168" s="147">
        <v>97.73</v>
      </c>
      <c r="N168" s="147">
        <v>34.9</v>
      </c>
      <c r="O168" s="147">
        <v>50.72</v>
      </c>
      <c r="P168" s="147">
        <v>162.88</v>
      </c>
      <c r="Q168" s="147">
        <v>58.17</v>
      </c>
      <c r="R168" s="147">
        <v>93.07</v>
      </c>
      <c r="S168" s="147">
        <v>1255.96</v>
      </c>
    </row>
    <row r="169" spans="1:19" customFormat="1" x14ac:dyDescent="0.25">
      <c r="A169" s="146" t="s">
        <v>156</v>
      </c>
      <c r="B169" s="146" t="s">
        <v>481</v>
      </c>
      <c r="C169" s="146">
        <v>4</v>
      </c>
      <c r="D169" s="146">
        <v>9</v>
      </c>
      <c r="E169" s="146" t="s">
        <v>21</v>
      </c>
      <c r="F169" s="146">
        <v>28</v>
      </c>
      <c r="G169" s="147">
        <v>475.23</v>
      </c>
      <c r="H169" s="147">
        <v>670.07</v>
      </c>
      <c r="I169" s="147">
        <v>37.979999999999997</v>
      </c>
      <c r="J169" s="147">
        <v>13.81</v>
      </c>
      <c r="K169" s="147">
        <v>93.15</v>
      </c>
      <c r="L169" s="147">
        <v>33.270000000000003</v>
      </c>
      <c r="M169" s="147">
        <v>139.72</v>
      </c>
      <c r="N169" s="147">
        <v>49.9</v>
      </c>
      <c r="O169" s="147">
        <v>72.510000000000005</v>
      </c>
      <c r="P169" s="147">
        <v>232.86</v>
      </c>
      <c r="Q169" s="147">
        <v>83.17</v>
      </c>
      <c r="R169" s="147">
        <v>133.06</v>
      </c>
      <c r="S169" s="147">
        <v>1559.5</v>
      </c>
    </row>
    <row r="170" spans="1:19" customFormat="1" x14ac:dyDescent="0.25">
      <c r="A170" s="146" t="s">
        <v>157</v>
      </c>
      <c r="B170" s="146" t="s">
        <v>482</v>
      </c>
      <c r="C170" s="146">
        <v>4</v>
      </c>
      <c r="D170" s="146">
        <v>9</v>
      </c>
      <c r="E170" s="146" t="s">
        <v>21</v>
      </c>
      <c r="F170" s="146">
        <v>28</v>
      </c>
      <c r="G170" s="147">
        <v>523.79</v>
      </c>
      <c r="H170" s="147">
        <v>670.07</v>
      </c>
      <c r="I170" s="147">
        <v>52.93</v>
      </c>
      <c r="J170" s="147">
        <v>19.25</v>
      </c>
      <c r="K170" s="147">
        <v>102.66</v>
      </c>
      <c r="L170" s="147">
        <v>36.67</v>
      </c>
      <c r="M170" s="147">
        <v>153.99</v>
      </c>
      <c r="N170" s="147">
        <v>55</v>
      </c>
      <c r="O170" s="147">
        <v>79.92</v>
      </c>
      <c r="P170" s="147">
        <v>256.66000000000003</v>
      </c>
      <c r="Q170" s="147">
        <v>91.66</v>
      </c>
      <c r="R170" s="147">
        <v>146.66</v>
      </c>
      <c r="S170" s="147">
        <v>1665.47</v>
      </c>
    </row>
    <row r="171" spans="1:19" customFormat="1" x14ac:dyDescent="0.25">
      <c r="A171" s="146" t="s">
        <v>158</v>
      </c>
      <c r="B171" s="146" t="s">
        <v>483</v>
      </c>
      <c r="C171" s="146">
        <v>4</v>
      </c>
      <c r="D171" s="146">
        <v>9</v>
      </c>
      <c r="E171" s="146" t="s">
        <v>21</v>
      </c>
      <c r="F171" s="146">
        <v>28</v>
      </c>
      <c r="G171" s="147">
        <v>791.4</v>
      </c>
      <c r="H171" s="147">
        <v>670.07</v>
      </c>
      <c r="I171" s="147">
        <v>135.36000000000001</v>
      </c>
      <c r="J171" s="147">
        <v>49.22</v>
      </c>
      <c r="K171" s="147">
        <v>155.11000000000001</v>
      </c>
      <c r="L171" s="147">
        <v>55.4</v>
      </c>
      <c r="M171" s="147">
        <v>232.67</v>
      </c>
      <c r="N171" s="147">
        <v>83.1</v>
      </c>
      <c r="O171" s="147">
        <v>120.75</v>
      </c>
      <c r="P171" s="147">
        <v>387.79</v>
      </c>
      <c r="Q171" s="147">
        <v>138.5</v>
      </c>
      <c r="R171" s="147">
        <v>221.59</v>
      </c>
      <c r="S171" s="147">
        <v>2249.56</v>
      </c>
    </row>
    <row r="172" spans="1:19" customFormat="1" x14ac:dyDescent="0.25">
      <c r="A172" s="146" t="s">
        <v>159</v>
      </c>
      <c r="B172" s="146" t="s">
        <v>484</v>
      </c>
      <c r="C172" s="146">
        <v>4</v>
      </c>
      <c r="D172" s="146">
        <v>9</v>
      </c>
      <c r="E172" s="146" t="s">
        <v>21</v>
      </c>
      <c r="F172" s="146">
        <v>28</v>
      </c>
      <c r="G172" s="147">
        <v>2259.2399999999998</v>
      </c>
      <c r="H172" s="147">
        <v>670.07</v>
      </c>
      <c r="I172" s="147">
        <v>587.45000000000005</v>
      </c>
      <c r="J172" s="147">
        <v>213.62</v>
      </c>
      <c r="K172" s="147">
        <v>442.81</v>
      </c>
      <c r="L172" s="147">
        <v>158.15</v>
      </c>
      <c r="M172" s="147">
        <v>664.22</v>
      </c>
      <c r="N172" s="147">
        <v>237.22</v>
      </c>
      <c r="O172" s="147">
        <v>344.7</v>
      </c>
      <c r="P172" s="147">
        <v>1107.03</v>
      </c>
      <c r="Q172" s="147">
        <v>395.37</v>
      </c>
      <c r="R172" s="147">
        <v>632.59</v>
      </c>
      <c r="S172" s="147">
        <v>5453.23</v>
      </c>
    </row>
    <row r="173" spans="1:19" customFormat="1" x14ac:dyDescent="0.25">
      <c r="A173" s="146" t="s">
        <v>160</v>
      </c>
      <c r="B173" s="146" t="s">
        <v>485</v>
      </c>
      <c r="C173" s="146">
        <v>4</v>
      </c>
      <c r="D173" s="146">
        <v>9</v>
      </c>
      <c r="E173" s="146" t="s">
        <v>21</v>
      </c>
      <c r="F173" s="146">
        <v>28</v>
      </c>
      <c r="G173" s="147">
        <v>1005.61</v>
      </c>
      <c r="H173" s="147">
        <v>670.07</v>
      </c>
      <c r="I173" s="147">
        <v>201.33</v>
      </c>
      <c r="J173" s="147">
        <v>73.209999999999994</v>
      </c>
      <c r="K173" s="147">
        <v>197.1</v>
      </c>
      <c r="L173" s="147">
        <v>70.39</v>
      </c>
      <c r="M173" s="147">
        <v>295.64999999999998</v>
      </c>
      <c r="N173" s="147">
        <v>105.59</v>
      </c>
      <c r="O173" s="147">
        <v>153.43</v>
      </c>
      <c r="P173" s="147">
        <v>492.75</v>
      </c>
      <c r="Q173" s="147">
        <v>175.98</v>
      </c>
      <c r="R173" s="147">
        <v>281.57</v>
      </c>
      <c r="S173" s="147">
        <v>2717.07</v>
      </c>
    </row>
    <row r="174" spans="1:19" customFormat="1" x14ac:dyDescent="0.25">
      <c r="A174" s="146" t="s">
        <v>161</v>
      </c>
      <c r="B174" s="146" t="s">
        <v>486</v>
      </c>
      <c r="C174" s="146">
        <v>4</v>
      </c>
      <c r="D174" s="146">
        <v>9</v>
      </c>
      <c r="E174" s="146" t="s">
        <v>21</v>
      </c>
      <c r="F174" s="146">
        <v>28</v>
      </c>
      <c r="G174" s="147">
        <v>501.07</v>
      </c>
      <c r="H174" s="147">
        <v>670.07</v>
      </c>
      <c r="I174" s="147">
        <v>45.94</v>
      </c>
      <c r="J174" s="147">
        <v>16.7</v>
      </c>
      <c r="K174" s="147">
        <v>98.21</v>
      </c>
      <c r="L174" s="147">
        <v>35.07</v>
      </c>
      <c r="M174" s="147">
        <v>147.31</v>
      </c>
      <c r="N174" s="147">
        <v>52.61</v>
      </c>
      <c r="O174" s="147">
        <v>76.45</v>
      </c>
      <c r="P174" s="147">
        <v>245.52</v>
      </c>
      <c r="Q174" s="147">
        <v>87.69</v>
      </c>
      <c r="R174" s="147">
        <v>140.30000000000001</v>
      </c>
      <c r="S174" s="147">
        <v>1615.87</v>
      </c>
    </row>
    <row r="175" spans="1:19" customFormat="1" x14ac:dyDescent="0.25">
      <c r="A175" s="146" t="s">
        <v>487</v>
      </c>
      <c r="B175" s="146" t="s">
        <v>488</v>
      </c>
      <c r="C175" s="146">
        <v>4</v>
      </c>
      <c r="D175" s="146">
        <v>9</v>
      </c>
      <c r="E175" s="146" t="s">
        <v>21</v>
      </c>
      <c r="F175" s="146">
        <v>28</v>
      </c>
      <c r="G175" s="147">
        <v>613.33000000000004</v>
      </c>
      <c r="H175" s="147">
        <v>670.07</v>
      </c>
      <c r="I175" s="147">
        <v>80.510000000000005</v>
      </c>
      <c r="J175" s="147">
        <v>29.28</v>
      </c>
      <c r="K175" s="147">
        <v>120.21</v>
      </c>
      <c r="L175" s="147">
        <v>42.93</v>
      </c>
      <c r="M175" s="147">
        <v>180.32</v>
      </c>
      <c r="N175" s="147">
        <v>64.400000000000006</v>
      </c>
      <c r="O175" s="147">
        <v>93.58</v>
      </c>
      <c r="P175" s="147">
        <v>300.52999999999997</v>
      </c>
      <c r="Q175" s="147">
        <v>107.33</v>
      </c>
      <c r="R175" s="147">
        <v>171.73</v>
      </c>
      <c r="S175" s="147">
        <v>1860.89</v>
      </c>
    </row>
    <row r="176" spans="1:19" customFormat="1" x14ac:dyDescent="0.25">
      <c r="A176" s="146" t="s">
        <v>162</v>
      </c>
      <c r="B176" s="146" t="s">
        <v>489</v>
      </c>
      <c r="C176" s="146">
        <v>4</v>
      </c>
      <c r="D176" s="146">
        <v>9</v>
      </c>
      <c r="E176" s="146" t="s">
        <v>21</v>
      </c>
      <c r="F176" s="146">
        <v>28</v>
      </c>
      <c r="G176" s="147">
        <v>436.24</v>
      </c>
      <c r="H176" s="147">
        <v>670.07</v>
      </c>
      <c r="I176" s="147">
        <v>25.97</v>
      </c>
      <c r="J176" s="147">
        <v>9.44</v>
      </c>
      <c r="K176" s="147">
        <v>85.5</v>
      </c>
      <c r="L176" s="147">
        <v>30.54</v>
      </c>
      <c r="M176" s="147">
        <v>128.25</v>
      </c>
      <c r="N176" s="147">
        <v>45.81</v>
      </c>
      <c r="O176" s="147">
        <v>66.56</v>
      </c>
      <c r="P176" s="147">
        <v>213.76</v>
      </c>
      <c r="Q176" s="147">
        <v>76.34</v>
      </c>
      <c r="R176" s="147">
        <v>122.15</v>
      </c>
      <c r="S176" s="147">
        <v>1474.39</v>
      </c>
    </row>
    <row r="177" spans="1:19" customFormat="1" x14ac:dyDescent="0.25">
      <c r="A177" s="146" t="s">
        <v>163</v>
      </c>
      <c r="B177" s="146" t="s">
        <v>490</v>
      </c>
      <c r="C177" s="146">
        <v>4</v>
      </c>
      <c r="D177" s="146">
        <v>9</v>
      </c>
      <c r="E177" s="146" t="s">
        <v>21</v>
      </c>
      <c r="F177" s="146">
        <v>28</v>
      </c>
      <c r="G177" s="147">
        <v>491.53</v>
      </c>
      <c r="H177" s="147">
        <v>670.07</v>
      </c>
      <c r="I177" s="147">
        <v>43</v>
      </c>
      <c r="J177" s="147">
        <v>15.64</v>
      </c>
      <c r="K177" s="147">
        <v>96.34</v>
      </c>
      <c r="L177" s="147">
        <v>34.409999999999997</v>
      </c>
      <c r="M177" s="147">
        <v>144.51</v>
      </c>
      <c r="N177" s="147">
        <v>51.61</v>
      </c>
      <c r="O177" s="147">
        <v>75</v>
      </c>
      <c r="P177" s="147">
        <v>240.85</v>
      </c>
      <c r="Q177" s="147">
        <v>86.02</v>
      </c>
      <c r="R177" s="147">
        <v>137.63</v>
      </c>
      <c r="S177" s="147">
        <v>1595.08</v>
      </c>
    </row>
    <row r="178" spans="1:19" customFormat="1" x14ac:dyDescent="0.25">
      <c r="A178" s="146" t="s">
        <v>164</v>
      </c>
      <c r="B178" s="146" t="s">
        <v>491</v>
      </c>
      <c r="C178" s="146">
        <v>4</v>
      </c>
      <c r="D178" s="146">
        <v>9</v>
      </c>
      <c r="E178" s="146" t="s">
        <v>21</v>
      </c>
      <c r="F178" s="146">
        <v>28</v>
      </c>
      <c r="G178" s="147">
        <v>464.93</v>
      </c>
      <c r="H178" s="147">
        <v>670.07</v>
      </c>
      <c r="I178" s="147">
        <v>34.799999999999997</v>
      </c>
      <c r="J178" s="147">
        <v>12.66</v>
      </c>
      <c r="K178" s="147">
        <v>91.13</v>
      </c>
      <c r="L178" s="147">
        <v>32.549999999999997</v>
      </c>
      <c r="M178" s="147">
        <v>136.69</v>
      </c>
      <c r="N178" s="147">
        <v>48.82</v>
      </c>
      <c r="O178" s="147">
        <v>70.94</v>
      </c>
      <c r="P178" s="147">
        <v>227.82</v>
      </c>
      <c r="Q178" s="147">
        <v>81.36</v>
      </c>
      <c r="R178" s="147">
        <v>130.18</v>
      </c>
      <c r="S178" s="147">
        <v>1537.02</v>
      </c>
    </row>
    <row r="179" spans="1:19" customFormat="1" x14ac:dyDescent="0.25">
      <c r="A179" s="146" t="s">
        <v>165</v>
      </c>
      <c r="B179" s="146" t="s">
        <v>492</v>
      </c>
      <c r="C179" s="146">
        <v>4</v>
      </c>
      <c r="D179" s="146">
        <v>9</v>
      </c>
      <c r="E179" s="146" t="s">
        <v>21</v>
      </c>
      <c r="F179" s="146">
        <v>28</v>
      </c>
      <c r="G179" s="147">
        <v>1085.93</v>
      </c>
      <c r="H179" s="147">
        <v>670.07</v>
      </c>
      <c r="I179" s="147">
        <v>226.07</v>
      </c>
      <c r="J179" s="147">
        <v>82.21</v>
      </c>
      <c r="K179" s="147">
        <v>212.84</v>
      </c>
      <c r="L179" s="147">
        <v>76.02</v>
      </c>
      <c r="M179" s="147">
        <v>319.26</v>
      </c>
      <c r="N179" s="147">
        <v>114.02</v>
      </c>
      <c r="O179" s="147">
        <v>165.69</v>
      </c>
      <c r="P179" s="147">
        <v>532.11</v>
      </c>
      <c r="Q179" s="147">
        <v>190.04</v>
      </c>
      <c r="R179" s="147">
        <v>304.06</v>
      </c>
      <c r="S179" s="147">
        <v>2892.39</v>
      </c>
    </row>
    <row r="180" spans="1:19" customFormat="1" x14ac:dyDescent="0.25">
      <c r="A180" s="146" t="s">
        <v>166</v>
      </c>
      <c r="B180" s="146" t="s">
        <v>493</v>
      </c>
      <c r="C180" s="146">
        <v>4</v>
      </c>
      <c r="D180" s="146">
        <v>9</v>
      </c>
      <c r="E180" s="146" t="s">
        <v>21</v>
      </c>
      <c r="F180" s="146">
        <v>28</v>
      </c>
      <c r="G180" s="147">
        <v>435.34</v>
      </c>
      <c r="H180" s="147">
        <v>670.07</v>
      </c>
      <c r="I180" s="147">
        <v>25.69</v>
      </c>
      <c r="J180" s="147">
        <v>9.34</v>
      </c>
      <c r="K180" s="147">
        <v>85.33</v>
      </c>
      <c r="L180" s="147">
        <v>30.47</v>
      </c>
      <c r="M180" s="147">
        <v>127.99</v>
      </c>
      <c r="N180" s="147">
        <v>45.71</v>
      </c>
      <c r="O180" s="147">
        <v>66.42</v>
      </c>
      <c r="P180" s="147">
        <v>213.32</v>
      </c>
      <c r="Q180" s="147">
        <v>76.180000000000007</v>
      </c>
      <c r="R180" s="147">
        <v>121.9</v>
      </c>
      <c r="S180" s="147">
        <v>1472.42</v>
      </c>
    </row>
    <row r="181" spans="1:19" customFormat="1" x14ac:dyDescent="0.25">
      <c r="A181" s="146" t="s">
        <v>167</v>
      </c>
      <c r="B181" s="146" t="s">
        <v>494</v>
      </c>
      <c r="C181" s="146">
        <v>4</v>
      </c>
      <c r="D181" s="146">
        <v>9</v>
      </c>
      <c r="E181" s="146" t="s">
        <v>21</v>
      </c>
      <c r="F181" s="146">
        <v>28</v>
      </c>
      <c r="G181" s="147">
        <v>628.25</v>
      </c>
      <c r="H181" s="147">
        <v>670.07</v>
      </c>
      <c r="I181" s="147">
        <v>85.11</v>
      </c>
      <c r="J181" s="147">
        <v>30.95</v>
      </c>
      <c r="K181" s="147">
        <v>123.14</v>
      </c>
      <c r="L181" s="147">
        <v>43.98</v>
      </c>
      <c r="M181" s="147">
        <v>184.71</v>
      </c>
      <c r="N181" s="147">
        <v>65.97</v>
      </c>
      <c r="O181" s="147">
        <v>95.86</v>
      </c>
      <c r="P181" s="147">
        <v>307.83999999999997</v>
      </c>
      <c r="Q181" s="147">
        <v>109.94</v>
      </c>
      <c r="R181" s="147">
        <v>175.91</v>
      </c>
      <c r="S181" s="147">
        <v>1893.48</v>
      </c>
    </row>
    <row r="182" spans="1:19" customFormat="1" x14ac:dyDescent="0.25">
      <c r="A182" s="146" t="s">
        <v>168</v>
      </c>
      <c r="B182" s="146" t="s">
        <v>495</v>
      </c>
      <c r="C182" s="146">
        <v>4</v>
      </c>
      <c r="D182" s="146">
        <v>9</v>
      </c>
      <c r="E182" s="146" t="s">
        <v>21</v>
      </c>
      <c r="F182" s="146">
        <v>28</v>
      </c>
      <c r="G182" s="147">
        <v>436.5</v>
      </c>
      <c r="H182" s="147">
        <v>670.07</v>
      </c>
      <c r="I182" s="147">
        <v>26.05</v>
      </c>
      <c r="J182" s="147">
        <v>9.4700000000000006</v>
      </c>
      <c r="K182" s="147">
        <v>85.55</v>
      </c>
      <c r="L182" s="147">
        <v>30.56</v>
      </c>
      <c r="M182" s="147">
        <v>128.33000000000001</v>
      </c>
      <c r="N182" s="147">
        <v>45.83</v>
      </c>
      <c r="O182" s="147">
        <v>66.599999999999994</v>
      </c>
      <c r="P182" s="147">
        <v>213.89</v>
      </c>
      <c r="Q182" s="147">
        <v>76.39</v>
      </c>
      <c r="R182" s="147">
        <v>122.22</v>
      </c>
      <c r="S182" s="147">
        <v>1474.96</v>
      </c>
    </row>
    <row r="183" spans="1:19" customFormat="1" x14ac:dyDescent="0.25">
      <c r="A183" s="146" t="s">
        <v>169</v>
      </c>
      <c r="B183" s="146" t="s">
        <v>496</v>
      </c>
      <c r="C183" s="146">
        <v>4</v>
      </c>
      <c r="D183" s="146">
        <v>9</v>
      </c>
      <c r="E183" s="146" t="s">
        <v>21</v>
      </c>
      <c r="F183" s="146">
        <v>28</v>
      </c>
      <c r="G183" s="147">
        <v>489.76</v>
      </c>
      <c r="H183" s="147">
        <v>670.07</v>
      </c>
      <c r="I183" s="147">
        <v>42.45</v>
      </c>
      <c r="J183" s="147">
        <v>15.44</v>
      </c>
      <c r="K183" s="147">
        <v>95.99</v>
      </c>
      <c r="L183" s="147">
        <v>34.28</v>
      </c>
      <c r="M183" s="147">
        <v>143.99</v>
      </c>
      <c r="N183" s="147">
        <v>51.42</v>
      </c>
      <c r="O183" s="147">
        <v>74.73</v>
      </c>
      <c r="P183" s="147">
        <v>239.98</v>
      </c>
      <c r="Q183" s="147">
        <v>85.71</v>
      </c>
      <c r="R183" s="147">
        <v>137.13</v>
      </c>
      <c r="S183" s="147">
        <v>1591.19</v>
      </c>
    </row>
    <row r="184" spans="1:19" customFormat="1" x14ac:dyDescent="0.25">
      <c r="A184" s="146" t="s">
        <v>170</v>
      </c>
      <c r="B184" s="146" t="s">
        <v>497</v>
      </c>
      <c r="C184" s="146">
        <v>4</v>
      </c>
      <c r="D184" s="146">
        <v>9</v>
      </c>
      <c r="E184" s="146" t="s">
        <v>21</v>
      </c>
      <c r="F184" s="146">
        <v>28</v>
      </c>
      <c r="G184" s="147">
        <v>436.24</v>
      </c>
      <c r="H184" s="147">
        <v>670.07</v>
      </c>
      <c r="I184" s="147">
        <v>25.97</v>
      </c>
      <c r="J184" s="147">
        <v>9.44</v>
      </c>
      <c r="K184" s="147">
        <v>85.5</v>
      </c>
      <c r="L184" s="147">
        <v>30.54</v>
      </c>
      <c r="M184" s="147">
        <v>128.25</v>
      </c>
      <c r="N184" s="147">
        <v>45.81</v>
      </c>
      <c r="O184" s="147">
        <v>66.56</v>
      </c>
      <c r="P184" s="147">
        <v>213.76</v>
      </c>
      <c r="Q184" s="147">
        <v>76.34</v>
      </c>
      <c r="R184" s="147">
        <v>122.15</v>
      </c>
      <c r="S184" s="147">
        <v>1474.39</v>
      </c>
    </row>
    <row r="185" spans="1:19" customFormat="1" x14ac:dyDescent="0.25">
      <c r="A185" s="146" t="s">
        <v>171</v>
      </c>
      <c r="B185" s="146" t="s">
        <v>498</v>
      </c>
      <c r="C185" s="146">
        <v>4</v>
      </c>
      <c r="D185" s="146">
        <v>9</v>
      </c>
      <c r="E185" s="146" t="s">
        <v>21</v>
      </c>
      <c r="F185" s="146">
        <v>28</v>
      </c>
      <c r="G185" s="147">
        <v>560.66999999999996</v>
      </c>
      <c r="H185" s="147">
        <v>670.07</v>
      </c>
      <c r="I185" s="147">
        <v>64.290000000000006</v>
      </c>
      <c r="J185" s="147">
        <v>23.38</v>
      </c>
      <c r="K185" s="147">
        <v>109.89</v>
      </c>
      <c r="L185" s="147">
        <v>39.25</v>
      </c>
      <c r="M185" s="147">
        <v>164.84</v>
      </c>
      <c r="N185" s="147">
        <v>58.87</v>
      </c>
      <c r="O185" s="147">
        <v>85.54</v>
      </c>
      <c r="P185" s="147">
        <v>274.73</v>
      </c>
      <c r="Q185" s="147">
        <v>98.12</v>
      </c>
      <c r="R185" s="147">
        <v>156.99</v>
      </c>
      <c r="S185" s="147">
        <v>1745.97</v>
      </c>
    </row>
    <row r="186" spans="1:19" customFormat="1" x14ac:dyDescent="0.25">
      <c r="A186" s="146" t="s">
        <v>172</v>
      </c>
      <c r="B186" s="146" t="s">
        <v>499</v>
      </c>
      <c r="C186" s="146">
        <v>4</v>
      </c>
      <c r="D186" s="146">
        <v>9</v>
      </c>
      <c r="E186" s="146" t="s">
        <v>21</v>
      </c>
      <c r="F186" s="146">
        <v>28</v>
      </c>
      <c r="G186" s="147">
        <v>464.94</v>
      </c>
      <c r="H186" s="147">
        <v>670.07</v>
      </c>
      <c r="I186" s="147">
        <v>34.81</v>
      </c>
      <c r="J186" s="147">
        <v>12.66</v>
      </c>
      <c r="K186" s="147">
        <v>91.13</v>
      </c>
      <c r="L186" s="147">
        <v>32.549999999999997</v>
      </c>
      <c r="M186" s="147">
        <v>136.69</v>
      </c>
      <c r="N186" s="147">
        <v>48.82</v>
      </c>
      <c r="O186" s="147">
        <v>70.94</v>
      </c>
      <c r="P186" s="147">
        <v>227.82</v>
      </c>
      <c r="Q186" s="147">
        <v>81.36</v>
      </c>
      <c r="R186" s="147">
        <v>130.18</v>
      </c>
      <c r="S186" s="147">
        <v>1537.03</v>
      </c>
    </row>
    <row r="187" spans="1:19" customFormat="1" x14ac:dyDescent="0.25">
      <c r="A187" s="146" t="s">
        <v>173</v>
      </c>
      <c r="B187" s="146" t="s">
        <v>500</v>
      </c>
      <c r="C187" s="146">
        <v>4</v>
      </c>
      <c r="D187" s="146">
        <v>9</v>
      </c>
      <c r="E187" s="146" t="s">
        <v>21</v>
      </c>
      <c r="F187" s="146">
        <v>28</v>
      </c>
      <c r="G187" s="147">
        <v>560.08000000000004</v>
      </c>
      <c r="H187" s="147">
        <v>670.07</v>
      </c>
      <c r="I187" s="147">
        <v>64.11</v>
      </c>
      <c r="J187" s="147">
        <v>23.31</v>
      </c>
      <c r="K187" s="147">
        <v>109.78</v>
      </c>
      <c r="L187" s="147">
        <v>39.21</v>
      </c>
      <c r="M187" s="147">
        <v>164.66</v>
      </c>
      <c r="N187" s="147">
        <v>58.81</v>
      </c>
      <c r="O187" s="147">
        <v>85.45</v>
      </c>
      <c r="P187" s="147">
        <v>274.44</v>
      </c>
      <c r="Q187" s="147">
        <v>98.01</v>
      </c>
      <c r="R187" s="147">
        <v>156.82</v>
      </c>
      <c r="S187" s="147">
        <v>1744.67</v>
      </c>
    </row>
    <row r="188" spans="1:19" customFormat="1" x14ac:dyDescent="0.25">
      <c r="A188" s="146" t="s">
        <v>174</v>
      </c>
      <c r="B188" s="146" t="s">
        <v>501</v>
      </c>
      <c r="C188" s="146">
        <v>1</v>
      </c>
      <c r="D188" s="146">
        <v>9</v>
      </c>
      <c r="E188" s="146" t="s">
        <v>21</v>
      </c>
      <c r="F188" s="146">
        <v>28</v>
      </c>
      <c r="G188" s="147">
        <v>330.57</v>
      </c>
      <c r="H188" s="147">
        <v>670.07</v>
      </c>
      <c r="I188" s="147">
        <v>0</v>
      </c>
      <c r="J188" s="147">
        <v>0</v>
      </c>
      <c r="K188" s="147">
        <v>64.790000000000006</v>
      </c>
      <c r="L188" s="147">
        <v>23.14</v>
      </c>
      <c r="M188" s="147">
        <v>97.19</v>
      </c>
      <c r="N188" s="147">
        <v>34.71</v>
      </c>
      <c r="O188" s="147">
        <v>50.44</v>
      </c>
      <c r="P188" s="147">
        <v>161.97999999999999</v>
      </c>
      <c r="Q188" s="147">
        <v>57.85</v>
      </c>
      <c r="R188" s="147">
        <v>92.56</v>
      </c>
      <c r="S188" s="147">
        <v>1252.73</v>
      </c>
    </row>
    <row r="189" spans="1:19" customFormat="1" x14ac:dyDescent="0.25">
      <c r="A189" s="146" t="s">
        <v>175</v>
      </c>
      <c r="B189" s="146" t="s">
        <v>502</v>
      </c>
      <c r="C189" s="146">
        <v>4</v>
      </c>
      <c r="D189" s="146">
        <v>9</v>
      </c>
      <c r="E189" s="146" t="s">
        <v>21</v>
      </c>
      <c r="F189" s="146">
        <v>28</v>
      </c>
      <c r="G189" s="147">
        <v>463.96</v>
      </c>
      <c r="H189" s="147">
        <v>670.07</v>
      </c>
      <c r="I189" s="147">
        <v>34.51</v>
      </c>
      <c r="J189" s="147">
        <v>12.55</v>
      </c>
      <c r="K189" s="147">
        <v>90.94</v>
      </c>
      <c r="L189" s="147">
        <v>32.479999999999997</v>
      </c>
      <c r="M189" s="147">
        <v>136.4</v>
      </c>
      <c r="N189" s="147">
        <v>48.72</v>
      </c>
      <c r="O189" s="147">
        <v>70.790000000000006</v>
      </c>
      <c r="P189" s="147">
        <v>227.34</v>
      </c>
      <c r="Q189" s="147">
        <v>81.19</v>
      </c>
      <c r="R189" s="147">
        <v>129.91</v>
      </c>
      <c r="S189" s="147">
        <v>1534.9</v>
      </c>
    </row>
    <row r="190" spans="1:19" customFormat="1" x14ac:dyDescent="0.25">
      <c r="A190" s="146" t="s">
        <v>176</v>
      </c>
      <c r="B190" s="146" t="s">
        <v>503</v>
      </c>
      <c r="C190" s="146">
        <v>4</v>
      </c>
      <c r="D190" s="146">
        <v>9</v>
      </c>
      <c r="E190" s="146" t="s">
        <v>21</v>
      </c>
      <c r="F190" s="146">
        <v>28</v>
      </c>
      <c r="G190" s="147">
        <v>738.85</v>
      </c>
      <c r="H190" s="147">
        <v>670.07</v>
      </c>
      <c r="I190" s="147">
        <v>119.17</v>
      </c>
      <c r="J190" s="147">
        <v>43.34</v>
      </c>
      <c r="K190" s="147">
        <v>144.81</v>
      </c>
      <c r="L190" s="147">
        <v>51.72</v>
      </c>
      <c r="M190" s="147">
        <v>217.22</v>
      </c>
      <c r="N190" s="147">
        <v>77.58</v>
      </c>
      <c r="O190" s="147">
        <v>112.73</v>
      </c>
      <c r="P190" s="147">
        <v>362.04</v>
      </c>
      <c r="Q190" s="147">
        <v>129.30000000000001</v>
      </c>
      <c r="R190" s="147">
        <v>206.88</v>
      </c>
      <c r="S190" s="147">
        <v>2134.86</v>
      </c>
    </row>
    <row r="191" spans="1:19" customFormat="1" x14ac:dyDescent="0.25">
      <c r="A191" s="146" t="s">
        <v>177</v>
      </c>
      <c r="B191" s="146" t="s">
        <v>504</v>
      </c>
      <c r="C191" s="146">
        <v>4</v>
      </c>
      <c r="D191" s="146">
        <v>9</v>
      </c>
      <c r="E191" s="146" t="s">
        <v>21</v>
      </c>
      <c r="F191" s="146">
        <v>28</v>
      </c>
      <c r="G191" s="147">
        <v>2100.88</v>
      </c>
      <c r="H191" s="147">
        <v>670.07</v>
      </c>
      <c r="I191" s="147">
        <v>538.67999999999995</v>
      </c>
      <c r="J191" s="147">
        <v>195.88</v>
      </c>
      <c r="K191" s="147">
        <v>411.77</v>
      </c>
      <c r="L191" s="147">
        <v>147.06</v>
      </c>
      <c r="M191" s="147">
        <v>617.66</v>
      </c>
      <c r="N191" s="147">
        <v>220.59</v>
      </c>
      <c r="O191" s="147">
        <v>320.54000000000002</v>
      </c>
      <c r="P191" s="147">
        <v>1029.43</v>
      </c>
      <c r="Q191" s="147">
        <v>367.65</v>
      </c>
      <c r="R191" s="147">
        <v>588.25</v>
      </c>
      <c r="S191" s="147">
        <v>5107.58</v>
      </c>
    </row>
    <row r="192" spans="1:19" customFormat="1" x14ac:dyDescent="0.25">
      <c r="A192" s="146" t="s">
        <v>178</v>
      </c>
      <c r="B192" s="146" t="s">
        <v>505</v>
      </c>
      <c r="C192" s="146">
        <v>1</v>
      </c>
      <c r="D192" s="146">
        <v>9</v>
      </c>
      <c r="E192" s="146" t="s">
        <v>21</v>
      </c>
      <c r="F192" s="146">
        <v>28</v>
      </c>
      <c r="G192" s="147">
        <v>330.57</v>
      </c>
      <c r="H192" s="147">
        <v>670.07</v>
      </c>
      <c r="I192" s="147">
        <v>0</v>
      </c>
      <c r="J192" s="147">
        <v>0</v>
      </c>
      <c r="K192" s="147">
        <v>64.790000000000006</v>
      </c>
      <c r="L192" s="147">
        <v>23.14</v>
      </c>
      <c r="M192" s="147">
        <v>97.19</v>
      </c>
      <c r="N192" s="147">
        <v>34.71</v>
      </c>
      <c r="O192" s="147">
        <v>50.44</v>
      </c>
      <c r="P192" s="147">
        <v>161.97999999999999</v>
      </c>
      <c r="Q192" s="147">
        <v>57.85</v>
      </c>
      <c r="R192" s="147">
        <v>92.56</v>
      </c>
      <c r="S192" s="147">
        <v>1252.73</v>
      </c>
    </row>
    <row r="193" spans="1:19" customFormat="1" x14ac:dyDescent="0.25">
      <c r="A193" s="146" t="s">
        <v>506</v>
      </c>
      <c r="B193" s="146" t="s">
        <v>507</v>
      </c>
      <c r="C193" s="146">
        <v>4</v>
      </c>
      <c r="D193" s="146">
        <v>9</v>
      </c>
      <c r="E193" s="146" t="s">
        <v>21</v>
      </c>
      <c r="F193" s="146">
        <v>28</v>
      </c>
      <c r="G193" s="147">
        <v>347.29</v>
      </c>
      <c r="H193" s="147">
        <v>670.07</v>
      </c>
      <c r="I193" s="147">
        <v>0</v>
      </c>
      <c r="J193" s="147">
        <v>0</v>
      </c>
      <c r="K193" s="147">
        <v>68.069999999999993</v>
      </c>
      <c r="L193" s="147">
        <v>24.31</v>
      </c>
      <c r="M193" s="147">
        <v>102.1</v>
      </c>
      <c r="N193" s="147">
        <v>36.47</v>
      </c>
      <c r="O193" s="147">
        <v>52.99</v>
      </c>
      <c r="P193" s="147">
        <v>170.17</v>
      </c>
      <c r="Q193" s="147">
        <v>60.78</v>
      </c>
      <c r="R193" s="147">
        <v>97.24</v>
      </c>
      <c r="S193" s="147">
        <v>1282.2</v>
      </c>
    </row>
    <row r="194" spans="1:19" customFormat="1" x14ac:dyDescent="0.25">
      <c r="A194" s="146" t="s">
        <v>179</v>
      </c>
      <c r="B194" s="146" t="s">
        <v>508</v>
      </c>
      <c r="C194" s="146">
        <v>4</v>
      </c>
      <c r="D194" s="146">
        <v>9</v>
      </c>
      <c r="E194" s="146" t="s">
        <v>21</v>
      </c>
      <c r="F194" s="146">
        <v>28</v>
      </c>
      <c r="G194" s="147">
        <v>1098.32</v>
      </c>
      <c r="H194" s="147">
        <v>670.07</v>
      </c>
      <c r="I194" s="147">
        <v>229.89</v>
      </c>
      <c r="J194" s="147">
        <v>83.6</v>
      </c>
      <c r="K194" s="147">
        <v>215.27</v>
      </c>
      <c r="L194" s="147">
        <v>76.88</v>
      </c>
      <c r="M194" s="147">
        <v>322.91000000000003</v>
      </c>
      <c r="N194" s="147">
        <v>115.32</v>
      </c>
      <c r="O194" s="147">
        <v>167.58</v>
      </c>
      <c r="P194" s="147">
        <v>538.17999999999995</v>
      </c>
      <c r="Q194" s="147">
        <v>192.21</v>
      </c>
      <c r="R194" s="147">
        <v>307.52999999999997</v>
      </c>
      <c r="S194" s="147">
        <v>2919.44</v>
      </c>
    </row>
    <row r="195" spans="1:19" customFormat="1" x14ac:dyDescent="0.25">
      <c r="A195" s="146" t="s">
        <v>180</v>
      </c>
      <c r="B195" s="146" t="s">
        <v>509</v>
      </c>
      <c r="C195" s="146">
        <v>4</v>
      </c>
      <c r="D195" s="146">
        <v>9</v>
      </c>
      <c r="E195" s="146" t="s">
        <v>21</v>
      </c>
      <c r="F195" s="146">
        <v>28</v>
      </c>
      <c r="G195" s="147">
        <v>357.16</v>
      </c>
      <c r="H195" s="147">
        <v>670.07</v>
      </c>
      <c r="I195" s="147">
        <v>1.61</v>
      </c>
      <c r="J195" s="147">
        <v>0.59</v>
      </c>
      <c r="K195" s="147">
        <v>70</v>
      </c>
      <c r="L195" s="147">
        <v>25</v>
      </c>
      <c r="M195" s="147">
        <v>105.01</v>
      </c>
      <c r="N195" s="147">
        <v>37.5</v>
      </c>
      <c r="O195" s="147">
        <v>54.49</v>
      </c>
      <c r="P195" s="147">
        <v>175.01</v>
      </c>
      <c r="Q195" s="147">
        <v>62.5</v>
      </c>
      <c r="R195" s="147">
        <v>100</v>
      </c>
      <c r="S195" s="147">
        <v>1301.78</v>
      </c>
    </row>
    <row r="196" spans="1:19" customFormat="1" x14ac:dyDescent="0.25">
      <c r="A196" s="146" t="s">
        <v>181</v>
      </c>
      <c r="B196" s="146" t="s">
        <v>182</v>
      </c>
      <c r="C196" s="146">
        <v>4</v>
      </c>
      <c r="D196" s="146">
        <v>9</v>
      </c>
      <c r="E196" s="146" t="s">
        <v>21</v>
      </c>
      <c r="F196" s="146">
        <v>28</v>
      </c>
      <c r="G196" s="147">
        <v>438.81</v>
      </c>
      <c r="H196" s="147">
        <v>670.07</v>
      </c>
      <c r="I196" s="147">
        <v>26.76</v>
      </c>
      <c r="J196" s="147">
        <v>9.73</v>
      </c>
      <c r="K196" s="147">
        <v>86.01</v>
      </c>
      <c r="L196" s="147">
        <v>30.72</v>
      </c>
      <c r="M196" s="147">
        <v>129.01</v>
      </c>
      <c r="N196" s="147">
        <v>46.08</v>
      </c>
      <c r="O196" s="147">
        <v>66.95</v>
      </c>
      <c r="P196" s="147">
        <v>215.02</v>
      </c>
      <c r="Q196" s="147">
        <v>76.790000000000006</v>
      </c>
      <c r="R196" s="147">
        <v>122.87</v>
      </c>
      <c r="S196" s="147">
        <v>1480.01</v>
      </c>
    </row>
    <row r="197" spans="1:19" customFormat="1" x14ac:dyDescent="0.25">
      <c r="A197" s="146" t="s">
        <v>183</v>
      </c>
      <c r="B197" s="146" t="s">
        <v>510</v>
      </c>
      <c r="C197" s="146">
        <v>4</v>
      </c>
      <c r="D197" s="146">
        <v>9</v>
      </c>
      <c r="E197" s="146" t="s">
        <v>21</v>
      </c>
      <c r="F197" s="146">
        <v>28</v>
      </c>
      <c r="G197" s="147">
        <v>364.38</v>
      </c>
      <c r="H197" s="147">
        <v>670.07</v>
      </c>
      <c r="I197" s="147">
        <v>3.83</v>
      </c>
      <c r="J197" s="147">
        <v>1.39</v>
      </c>
      <c r="K197" s="147">
        <v>71.42</v>
      </c>
      <c r="L197" s="147">
        <v>25.51</v>
      </c>
      <c r="M197" s="147">
        <v>107.13</v>
      </c>
      <c r="N197" s="147">
        <v>38.26</v>
      </c>
      <c r="O197" s="147">
        <v>55.6</v>
      </c>
      <c r="P197" s="147">
        <v>178.55</v>
      </c>
      <c r="Q197" s="147">
        <v>63.77</v>
      </c>
      <c r="R197" s="147">
        <v>102.03</v>
      </c>
      <c r="S197" s="147">
        <v>1317.56</v>
      </c>
    </row>
    <row r="198" spans="1:19" customFormat="1" x14ac:dyDescent="0.25">
      <c r="A198" s="146" t="s">
        <v>184</v>
      </c>
      <c r="B198" s="146" t="s">
        <v>511</v>
      </c>
      <c r="C198" s="146">
        <v>4</v>
      </c>
      <c r="D198" s="146">
        <v>9</v>
      </c>
      <c r="E198" s="146" t="s">
        <v>21</v>
      </c>
      <c r="F198" s="146">
        <v>28</v>
      </c>
      <c r="G198" s="147">
        <v>459.18</v>
      </c>
      <c r="H198" s="147">
        <v>670.07</v>
      </c>
      <c r="I198" s="147">
        <v>33.03</v>
      </c>
      <c r="J198" s="147">
        <v>12.01</v>
      </c>
      <c r="K198" s="147">
        <v>90</v>
      </c>
      <c r="L198" s="147">
        <v>32.14</v>
      </c>
      <c r="M198" s="147">
        <v>135</v>
      </c>
      <c r="N198" s="147">
        <v>48.21</v>
      </c>
      <c r="O198" s="147">
        <v>70.06</v>
      </c>
      <c r="P198" s="147">
        <v>225</v>
      </c>
      <c r="Q198" s="147">
        <v>80.36</v>
      </c>
      <c r="R198" s="147">
        <v>128.57</v>
      </c>
      <c r="S198" s="147">
        <v>1524.45</v>
      </c>
    </row>
    <row r="199" spans="1:19" customFormat="1" x14ac:dyDescent="0.25">
      <c r="A199" s="146" t="s">
        <v>512</v>
      </c>
      <c r="B199" s="146" t="s">
        <v>513</v>
      </c>
      <c r="C199" s="146">
        <v>4</v>
      </c>
      <c r="D199" s="146">
        <v>9</v>
      </c>
      <c r="E199" s="146" t="s">
        <v>21</v>
      </c>
      <c r="F199" s="146">
        <v>28</v>
      </c>
      <c r="G199" s="147">
        <v>432.58</v>
      </c>
      <c r="H199" s="147">
        <v>670.07</v>
      </c>
      <c r="I199" s="147">
        <v>24.84</v>
      </c>
      <c r="J199" s="147">
        <v>9.0299999999999994</v>
      </c>
      <c r="K199" s="147">
        <v>84.79</v>
      </c>
      <c r="L199" s="147">
        <v>30.28</v>
      </c>
      <c r="M199" s="147">
        <v>127.18</v>
      </c>
      <c r="N199" s="147">
        <v>45.42</v>
      </c>
      <c r="O199" s="147">
        <v>66</v>
      </c>
      <c r="P199" s="147">
        <v>211.96</v>
      </c>
      <c r="Q199" s="147">
        <v>75.7</v>
      </c>
      <c r="R199" s="147">
        <v>121.12</v>
      </c>
      <c r="S199" s="147">
        <v>1466.39</v>
      </c>
    </row>
    <row r="200" spans="1:19" customFormat="1" x14ac:dyDescent="0.25">
      <c r="A200" s="146" t="s">
        <v>186</v>
      </c>
      <c r="B200" s="146" t="s">
        <v>514</v>
      </c>
      <c r="C200" s="146">
        <v>4</v>
      </c>
      <c r="D200" s="146">
        <v>9</v>
      </c>
      <c r="E200" s="146" t="s">
        <v>21</v>
      </c>
      <c r="F200" s="146">
        <v>28</v>
      </c>
      <c r="G200" s="147">
        <v>2828.5</v>
      </c>
      <c r="H200" s="147">
        <v>670.07</v>
      </c>
      <c r="I200" s="147">
        <v>762.78</v>
      </c>
      <c r="J200" s="147">
        <v>277.38</v>
      </c>
      <c r="K200" s="147">
        <v>554.39</v>
      </c>
      <c r="L200" s="147">
        <v>198</v>
      </c>
      <c r="M200" s="147">
        <v>831.58</v>
      </c>
      <c r="N200" s="147">
        <v>296.99</v>
      </c>
      <c r="O200" s="147">
        <v>431.56</v>
      </c>
      <c r="P200" s="147">
        <v>1385.97</v>
      </c>
      <c r="Q200" s="147">
        <v>494.99</v>
      </c>
      <c r="R200" s="147">
        <v>791.98</v>
      </c>
      <c r="S200" s="147">
        <v>6695.69</v>
      </c>
    </row>
    <row r="201" spans="1:19" customFormat="1" x14ac:dyDescent="0.25">
      <c r="A201" s="146" t="s">
        <v>187</v>
      </c>
      <c r="B201" s="146" t="s">
        <v>515</v>
      </c>
      <c r="C201" s="146">
        <v>4</v>
      </c>
      <c r="D201" s="146">
        <v>9</v>
      </c>
      <c r="E201" s="146" t="s">
        <v>21</v>
      </c>
      <c r="F201" s="146">
        <v>28</v>
      </c>
      <c r="G201" s="147">
        <v>2828.5</v>
      </c>
      <c r="H201" s="147">
        <v>670.07</v>
      </c>
      <c r="I201" s="147">
        <v>762.78</v>
      </c>
      <c r="J201" s="147">
        <v>277.38</v>
      </c>
      <c r="K201" s="147">
        <v>554.39</v>
      </c>
      <c r="L201" s="147">
        <v>198</v>
      </c>
      <c r="M201" s="147">
        <v>831.58</v>
      </c>
      <c r="N201" s="147">
        <v>296.99</v>
      </c>
      <c r="O201" s="147">
        <v>431.56</v>
      </c>
      <c r="P201" s="147">
        <v>1385.97</v>
      </c>
      <c r="Q201" s="147">
        <v>494.99</v>
      </c>
      <c r="R201" s="147">
        <v>791.98</v>
      </c>
      <c r="S201" s="147">
        <v>6695.69</v>
      </c>
    </row>
    <row r="202" spans="1:19" customFormat="1" x14ac:dyDescent="0.25">
      <c r="A202" s="146" t="s">
        <v>188</v>
      </c>
      <c r="B202" s="146" t="s">
        <v>516</v>
      </c>
      <c r="C202" s="146">
        <v>4</v>
      </c>
      <c r="D202" s="146">
        <v>9</v>
      </c>
      <c r="E202" s="146" t="s">
        <v>21</v>
      </c>
      <c r="F202" s="146">
        <v>28</v>
      </c>
      <c r="G202" s="147">
        <v>459.66</v>
      </c>
      <c r="H202" s="147">
        <v>670.07</v>
      </c>
      <c r="I202" s="147">
        <v>33.18</v>
      </c>
      <c r="J202" s="147">
        <v>12.07</v>
      </c>
      <c r="K202" s="147">
        <v>90.09</v>
      </c>
      <c r="L202" s="147">
        <v>32.18</v>
      </c>
      <c r="M202" s="147">
        <v>135.13999999999999</v>
      </c>
      <c r="N202" s="147">
        <v>48.26</v>
      </c>
      <c r="O202" s="147">
        <v>70.13</v>
      </c>
      <c r="P202" s="147">
        <v>225.23</v>
      </c>
      <c r="Q202" s="147">
        <v>80.44</v>
      </c>
      <c r="R202" s="147">
        <v>128.69999999999999</v>
      </c>
      <c r="S202" s="147">
        <v>1525.49</v>
      </c>
    </row>
    <row r="203" spans="1:19" customFormat="1" x14ac:dyDescent="0.25">
      <c r="A203" s="146" t="s">
        <v>517</v>
      </c>
      <c r="B203" s="146" t="s">
        <v>518</v>
      </c>
      <c r="C203" s="146">
        <v>1</v>
      </c>
      <c r="D203" s="146">
        <v>9</v>
      </c>
      <c r="E203" s="146" t="s">
        <v>21</v>
      </c>
      <c r="F203" s="146">
        <v>28</v>
      </c>
      <c r="G203" s="147">
        <v>330.57</v>
      </c>
      <c r="H203" s="147">
        <v>670.07</v>
      </c>
      <c r="I203" s="147">
        <v>0</v>
      </c>
      <c r="J203" s="147">
        <v>0</v>
      </c>
      <c r="K203" s="147">
        <v>64.790000000000006</v>
      </c>
      <c r="L203" s="147">
        <v>23.14</v>
      </c>
      <c r="M203" s="147">
        <v>97.19</v>
      </c>
      <c r="N203" s="147">
        <v>34.71</v>
      </c>
      <c r="O203" s="147">
        <v>50.44</v>
      </c>
      <c r="P203" s="147">
        <v>161.97999999999999</v>
      </c>
      <c r="Q203" s="147">
        <v>57.85</v>
      </c>
      <c r="R203" s="147">
        <v>92.56</v>
      </c>
      <c r="S203" s="147">
        <v>1252.73</v>
      </c>
    </row>
    <row r="204" spans="1:19" customFormat="1" x14ac:dyDescent="0.25">
      <c r="A204" s="146" t="s">
        <v>519</v>
      </c>
      <c r="B204" s="146" t="s">
        <v>520</v>
      </c>
      <c r="C204" s="146">
        <v>4</v>
      </c>
      <c r="D204" s="146">
        <v>9</v>
      </c>
      <c r="E204" s="146" t="s">
        <v>21</v>
      </c>
      <c r="F204" s="146">
        <v>28</v>
      </c>
      <c r="G204" s="147">
        <v>332.41</v>
      </c>
      <c r="H204" s="147">
        <v>670.07</v>
      </c>
      <c r="I204" s="147">
        <v>0</v>
      </c>
      <c r="J204" s="147">
        <v>0</v>
      </c>
      <c r="K204" s="147">
        <v>65.150000000000006</v>
      </c>
      <c r="L204" s="147">
        <v>23.27</v>
      </c>
      <c r="M204" s="147">
        <v>97.73</v>
      </c>
      <c r="N204" s="147">
        <v>34.9</v>
      </c>
      <c r="O204" s="147">
        <v>50.72</v>
      </c>
      <c r="P204" s="147">
        <v>162.88</v>
      </c>
      <c r="Q204" s="147">
        <v>58.17</v>
      </c>
      <c r="R204" s="147">
        <v>93.07</v>
      </c>
      <c r="S204" s="147">
        <v>1255.96</v>
      </c>
    </row>
    <row r="205" spans="1:19" customFormat="1" x14ac:dyDescent="0.25">
      <c r="A205" s="146" t="s">
        <v>189</v>
      </c>
      <c r="B205" s="146" t="s">
        <v>521</v>
      </c>
      <c r="C205" s="146">
        <v>4</v>
      </c>
      <c r="D205" s="146">
        <v>9</v>
      </c>
      <c r="E205" s="146" t="s">
        <v>21</v>
      </c>
      <c r="F205" s="146">
        <v>28</v>
      </c>
      <c r="G205" s="147">
        <v>2828.5</v>
      </c>
      <c r="H205" s="147">
        <v>670.07</v>
      </c>
      <c r="I205" s="147">
        <v>762.78</v>
      </c>
      <c r="J205" s="147">
        <v>277.38</v>
      </c>
      <c r="K205" s="147">
        <v>554.39</v>
      </c>
      <c r="L205" s="147">
        <v>198</v>
      </c>
      <c r="M205" s="147">
        <v>831.58</v>
      </c>
      <c r="N205" s="147">
        <v>296.99</v>
      </c>
      <c r="O205" s="147">
        <v>431.56</v>
      </c>
      <c r="P205" s="147">
        <v>1385.97</v>
      </c>
      <c r="Q205" s="147">
        <v>494.99</v>
      </c>
      <c r="R205" s="147">
        <v>791.98</v>
      </c>
      <c r="S205" s="147">
        <v>6695.69</v>
      </c>
    </row>
    <row r="206" spans="1:19" customFormat="1" x14ac:dyDescent="0.25">
      <c r="A206" s="146" t="s">
        <v>190</v>
      </c>
      <c r="B206" s="146" t="s">
        <v>522</v>
      </c>
      <c r="C206" s="146">
        <v>4</v>
      </c>
      <c r="D206" s="146">
        <v>9</v>
      </c>
      <c r="E206" s="146" t="s">
        <v>21</v>
      </c>
      <c r="F206" s="146">
        <v>28</v>
      </c>
      <c r="G206" s="147">
        <v>449.64</v>
      </c>
      <c r="H206" s="147">
        <v>670.07</v>
      </c>
      <c r="I206" s="147">
        <v>30.09</v>
      </c>
      <c r="J206" s="147">
        <v>10.94</v>
      </c>
      <c r="K206" s="147">
        <v>88.13</v>
      </c>
      <c r="L206" s="147">
        <v>31.47</v>
      </c>
      <c r="M206" s="147">
        <v>132.19</v>
      </c>
      <c r="N206" s="147">
        <v>47.21</v>
      </c>
      <c r="O206" s="147">
        <v>68.599999999999994</v>
      </c>
      <c r="P206" s="147">
        <v>220.32</v>
      </c>
      <c r="Q206" s="147">
        <v>78.69</v>
      </c>
      <c r="R206" s="147">
        <v>125.9</v>
      </c>
      <c r="S206" s="147">
        <v>1503.61</v>
      </c>
    </row>
    <row r="207" spans="1:19" customFormat="1" x14ac:dyDescent="0.25">
      <c r="A207" s="146" t="s">
        <v>191</v>
      </c>
      <c r="B207" s="146" t="s">
        <v>523</v>
      </c>
      <c r="C207" s="146">
        <v>4</v>
      </c>
      <c r="D207" s="146">
        <v>9</v>
      </c>
      <c r="E207" s="146" t="s">
        <v>21</v>
      </c>
      <c r="F207" s="146">
        <v>28</v>
      </c>
      <c r="G207" s="147">
        <v>618.53</v>
      </c>
      <c r="H207" s="147">
        <v>670.07</v>
      </c>
      <c r="I207" s="147">
        <v>82.11</v>
      </c>
      <c r="J207" s="147">
        <v>29.86</v>
      </c>
      <c r="K207" s="147">
        <v>121.23</v>
      </c>
      <c r="L207" s="147">
        <v>43.3</v>
      </c>
      <c r="M207" s="147">
        <v>181.85</v>
      </c>
      <c r="N207" s="147">
        <v>64.95</v>
      </c>
      <c r="O207" s="147">
        <v>94.37</v>
      </c>
      <c r="P207" s="147">
        <v>303.08</v>
      </c>
      <c r="Q207" s="147">
        <v>108.24</v>
      </c>
      <c r="R207" s="147">
        <v>173.19</v>
      </c>
      <c r="S207" s="147">
        <v>1872.25</v>
      </c>
    </row>
    <row r="208" spans="1:19" customFormat="1" x14ac:dyDescent="0.25">
      <c r="A208" s="146" t="s">
        <v>524</v>
      </c>
      <c r="B208" s="146" t="s">
        <v>525</v>
      </c>
      <c r="C208" s="146">
        <v>4</v>
      </c>
      <c r="D208" s="146">
        <v>8</v>
      </c>
      <c r="E208" s="146" t="s">
        <v>526</v>
      </c>
      <c r="F208" s="146">
        <v>11</v>
      </c>
      <c r="G208" s="147">
        <v>428.5</v>
      </c>
      <c r="H208" s="147">
        <v>263.24</v>
      </c>
      <c r="I208" s="147">
        <v>9.26</v>
      </c>
      <c r="J208" s="147">
        <v>3.37</v>
      </c>
      <c r="K208" s="147">
        <v>32.99</v>
      </c>
      <c r="L208" s="147">
        <v>11.78</v>
      </c>
      <c r="M208" s="147">
        <v>49.49</v>
      </c>
      <c r="N208" s="147">
        <v>17.68</v>
      </c>
      <c r="O208" s="147">
        <v>25.68</v>
      </c>
      <c r="P208" s="147">
        <v>82.49</v>
      </c>
      <c r="Q208" s="147">
        <v>29.46</v>
      </c>
      <c r="R208" s="147">
        <v>47.14</v>
      </c>
      <c r="S208" s="147">
        <v>572.58000000000004</v>
      </c>
    </row>
    <row r="209" spans="1:19" customFormat="1" x14ac:dyDescent="0.25">
      <c r="A209" s="146" t="s">
        <v>527</v>
      </c>
      <c r="B209" s="146" t="s">
        <v>528</v>
      </c>
      <c r="C209" s="146">
        <v>1</v>
      </c>
      <c r="D209" s="146">
        <v>9</v>
      </c>
      <c r="E209" s="146" t="s">
        <v>21</v>
      </c>
      <c r="F209" s="146">
        <v>28</v>
      </c>
      <c r="G209" s="147">
        <v>330.57</v>
      </c>
      <c r="H209" s="147">
        <v>670.07</v>
      </c>
      <c r="I209" s="147">
        <v>0</v>
      </c>
      <c r="J209" s="147">
        <v>0</v>
      </c>
      <c r="K209" s="147">
        <v>64.790000000000006</v>
      </c>
      <c r="L209" s="147">
        <v>23.14</v>
      </c>
      <c r="M209" s="147">
        <v>97.19</v>
      </c>
      <c r="N209" s="147">
        <v>34.71</v>
      </c>
      <c r="O209" s="147">
        <v>50.44</v>
      </c>
      <c r="P209" s="147">
        <v>161.97999999999999</v>
      </c>
      <c r="Q209" s="147">
        <v>57.85</v>
      </c>
      <c r="R209" s="147">
        <v>92.56</v>
      </c>
      <c r="S209" s="147">
        <v>1252.73</v>
      </c>
    </row>
    <row r="210" spans="1:19" customFormat="1" x14ac:dyDescent="0.25">
      <c r="A210" s="146" t="s">
        <v>192</v>
      </c>
      <c r="B210" s="146" t="s">
        <v>529</v>
      </c>
      <c r="C210" s="146">
        <v>1</v>
      </c>
      <c r="D210" s="146">
        <v>9</v>
      </c>
      <c r="E210" s="146" t="s">
        <v>21</v>
      </c>
      <c r="F210" s="146">
        <v>28</v>
      </c>
      <c r="G210" s="147">
        <v>330.57</v>
      </c>
      <c r="H210" s="147">
        <v>670.07</v>
      </c>
      <c r="I210" s="147">
        <v>0</v>
      </c>
      <c r="J210" s="147">
        <v>0</v>
      </c>
      <c r="K210" s="147">
        <v>64.790000000000006</v>
      </c>
      <c r="L210" s="147">
        <v>23.14</v>
      </c>
      <c r="M210" s="147">
        <v>97.19</v>
      </c>
      <c r="N210" s="147">
        <v>34.71</v>
      </c>
      <c r="O210" s="147">
        <v>50.44</v>
      </c>
      <c r="P210" s="147">
        <v>161.97999999999999</v>
      </c>
      <c r="Q210" s="147">
        <v>57.85</v>
      </c>
      <c r="R210" s="147">
        <v>92.56</v>
      </c>
      <c r="S210" s="147">
        <v>1252.73</v>
      </c>
    </row>
    <row r="211" spans="1:19" customFormat="1" x14ac:dyDescent="0.25">
      <c r="A211" s="146" t="s">
        <v>193</v>
      </c>
      <c r="B211" s="146" t="s">
        <v>530</v>
      </c>
      <c r="C211" s="146">
        <v>4</v>
      </c>
      <c r="D211" s="146">
        <v>9</v>
      </c>
      <c r="E211" s="146" t="s">
        <v>21</v>
      </c>
      <c r="F211" s="146">
        <v>28</v>
      </c>
      <c r="G211" s="147">
        <v>1039.67</v>
      </c>
      <c r="H211" s="147">
        <v>670.07</v>
      </c>
      <c r="I211" s="147">
        <v>211.82</v>
      </c>
      <c r="J211" s="147">
        <v>77.03</v>
      </c>
      <c r="K211" s="147">
        <v>203.78</v>
      </c>
      <c r="L211" s="147">
        <v>72.78</v>
      </c>
      <c r="M211" s="147">
        <v>305.66000000000003</v>
      </c>
      <c r="N211" s="147">
        <v>109.17</v>
      </c>
      <c r="O211" s="147">
        <v>158.63</v>
      </c>
      <c r="P211" s="147">
        <v>509.44</v>
      </c>
      <c r="Q211" s="147">
        <v>181.94</v>
      </c>
      <c r="R211" s="147">
        <v>291.11</v>
      </c>
      <c r="S211" s="147">
        <v>2791.43</v>
      </c>
    </row>
    <row r="212" spans="1:19" customFormat="1" x14ac:dyDescent="0.25">
      <c r="A212" s="146" t="s">
        <v>194</v>
      </c>
      <c r="B212" s="146" t="s">
        <v>531</v>
      </c>
      <c r="C212" s="146">
        <v>4</v>
      </c>
      <c r="D212" s="146">
        <v>9</v>
      </c>
      <c r="E212" s="146" t="s">
        <v>21</v>
      </c>
      <c r="F212" s="146">
        <v>28</v>
      </c>
      <c r="G212" s="147">
        <v>464.94</v>
      </c>
      <c r="H212" s="147">
        <v>670.07</v>
      </c>
      <c r="I212" s="147">
        <v>34.81</v>
      </c>
      <c r="J212" s="147">
        <v>12.66</v>
      </c>
      <c r="K212" s="147">
        <v>91.13</v>
      </c>
      <c r="L212" s="147">
        <v>32.549999999999997</v>
      </c>
      <c r="M212" s="147">
        <v>136.69</v>
      </c>
      <c r="N212" s="147">
        <v>48.82</v>
      </c>
      <c r="O212" s="147">
        <v>70.94</v>
      </c>
      <c r="P212" s="147">
        <v>227.82</v>
      </c>
      <c r="Q212" s="147">
        <v>81.36</v>
      </c>
      <c r="R212" s="147">
        <v>130.18</v>
      </c>
      <c r="S212" s="147">
        <v>1537.03</v>
      </c>
    </row>
    <row r="213" spans="1:19" customFormat="1" x14ac:dyDescent="0.25">
      <c r="A213" s="146" t="s">
        <v>195</v>
      </c>
      <c r="B213" s="146" t="s">
        <v>532</v>
      </c>
      <c r="C213" s="146">
        <v>1</v>
      </c>
      <c r="D213" s="146">
        <v>9</v>
      </c>
      <c r="E213" s="146" t="s">
        <v>21</v>
      </c>
      <c r="F213" s="146">
        <v>28</v>
      </c>
      <c r="G213" s="147">
        <v>330.57</v>
      </c>
      <c r="H213" s="147">
        <v>670.07</v>
      </c>
      <c r="I213" s="147">
        <v>0</v>
      </c>
      <c r="J213" s="147">
        <v>0</v>
      </c>
      <c r="K213" s="147">
        <v>64.790000000000006</v>
      </c>
      <c r="L213" s="147">
        <v>23.14</v>
      </c>
      <c r="M213" s="147">
        <v>97.19</v>
      </c>
      <c r="N213" s="147">
        <v>34.71</v>
      </c>
      <c r="O213" s="147">
        <v>50.44</v>
      </c>
      <c r="P213" s="147">
        <v>161.97999999999999</v>
      </c>
      <c r="Q213" s="147">
        <v>57.85</v>
      </c>
      <c r="R213" s="147">
        <v>92.56</v>
      </c>
      <c r="S213" s="147">
        <v>1252.73</v>
      </c>
    </row>
    <row r="214" spans="1:19" customFormat="1" x14ac:dyDescent="0.25">
      <c r="A214" s="146" t="s">
        <v>196</v>
      </c>
      <c r="B214" s="146" t="s">
        <v>533</v>
      </c>
      <c r="C214" s="146">
        <v>4</v>
      </c>
      <c r="D214" s="146">
        <v>9</v>
      </c>
      <c r="E214" s="146" t="s">
        <v>21</v>
      </c>
      <c r="F214" s="146">
        <v>28</v>
      </c>
      <c r="G214" s="147">
        <v>679.8</v>
      </c>
      <c r="H214" s="147">
        <v>670.07</v>
      </c>
      <c r="I214" s="147">
        <v>100.98</v>
      </c>
      <c r="J214" s="147">
        <v>36.72</v>
      </c>
      <c r="K214" s="147">
        <v>133.24</v>
      </c>
      <c r="L214" s="147">
        <v>47.59</v>
      </c>
      <c r="M214" s="147">
        <v>199.86</v>
      </c>
      <c r="N214" s="147">
        <v>71.38</v>
      </c>
      <c r="O214" s="147">
        <v>103.72</v>
      </c>
      <c r="P214" s="147">
        <v>333.1</v>
      </c>
      <c r="Q214" s="147">
        <v>118.97</v>
      </c>
      <c r="R214" s="147">
        <v>190.34</v>
      </c>
      <c r="S214" s="147">
        <v>2005.97</v>
      </c>
    </row>
    <row r="215" spans="1:19" customFormat="1" x14ac:dyDescent="0.25"/>
    <row r="216" spans="1:19" customFormat="1" x14ac:dyDescent="0.25"/>
    <row r="217" spans="1:19" customFormat="1" x14ac:dyDescent="0.25"/>
    <row r="218" spans="1:19" customFormat="1" x14ac:dyDescent="0.25"/>
    <row r="219" spans="1:19" customFormat="1" x14ac:dyDescent="0.25"/>
    <row r="220" spans="1:19" customFormat="1" x14ac:dyDescent="0.25"/>
    <row r="221" spans="1:19" customFormat="1" x14ac:dyDescent="0.25"/>
    <row r="222" spans="1:19" customFormat="1" x14ac:dyDescent="0.25"/>
    <row r="223" spans="1:19" customFormat="1" x14ac:dyDescent="0.25"/>
    <row r="224" spans="1:19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02BF-4FD2-43E3-960B-C92881A44C17}">
  <dimension ref="A3:R225"/>
  <sheetViews>
    <sheetView topLeftCell="A208" workbookViewId="0">
      <selection activeCell="B138" sqref="B138"/>
    </sheetView>
  </sheetViews>
  <sheetFormatPr baseColWidth="10" defaultColWidth="9.140625" defaultRowHeight="15" x14ac:dyDescent="0.25"/>
  <cols>
    <col min="1" max="1" width="13" customWidth="1"/>
    <col min="2" max="2" width="43.7109375" style="148" customWidth="1"/>
    <col min="3" max="3" width="21" customWidth="1"/>
    <col min="4" max="4" width="19" customWidth="1"/>
    <col min="5" max="5" width="20" customWidth="1"/>
    <col min="6" max="6" width="4" customWidth="1"/>
    <col min="7" max="7" width="14" customWidth="1"/>
    <col min="8" max="8" width="9.7109375" customWidth="1"/>
    <col min="9" max="9" width="17.85546875" customWidth="1"/>
    <col min="10" max="10" width="13.85546875" customWidth="1"/>
    <col min="11" max="11" width="12" customWidth="1"/>
    <col min="12" max="12" width="19" customWidth="1"/>
    <col min="13" max="13" width="17" customWidth="1"/>
    <col min="14" max="14" width="18" customWidth="1"/>
    <col min="15" max="15" width="17" customWidth="1"/>
    <col min="16" max="16" width="12" customWidth="1"/>
    <col min="17" max="17" width="18" customWidth="1"/>
    <col min="18" max="18" width="12.7109375" customWidth="1"/>
    <col min="257" max="257" width="13" customWidth="1"/>
    <col min="258" max="258" width="50" customWidth="1"/>
    <col min="259" max="259" width="21" customWidth="1"/>
    <col min="260" max="260" width="19" customWidth="1"/>
    <col min="261" max="261" width="20" customWidth="1"/>
    <col min="262" max="262" width="4" customWidth="1"/>
    <col min="263" max="263" width="14" customWidth="1"/>
    <col min="264" max="264" width="9.7109375" customWidth="1"/>
    <col min="265" max="265" width="42" customWidth="1"/>
    <col min="266" max="266" width="40" customWidth="1"/>
    <col min="267" max="267" width="12" customWidth="1"/>
    <col min="268" max="268" width="19" customWidth="1"/>
    <col min="269" max="269" width="17" customWidth="1"/>
    <col min="270" max="270" width="18" customWidth="1"/>
    <col min="271" max="271" width="17" customWidth="1"/>
    <col min="272" max="272" width="12" customWidth="1"/>
    <col min="273" max="273" width="18" customWidth="1"/>
    <col min="274" max="274" width="5" customWidth="1"/>
    <col min="513" max="513" width="13" customWidth="1"/>
    <col min="514" max="514" width="50" customWidth="1"/>
    <col min="515" max="515" width="21" customWidth="1"/>
    <col min="516" max="516" width="19" customWidth="1"/>
    <col min="517" max="517" width="20" customWidth="1"/>
    <col min="518" max="518" width="4" customWidth="1"/>
    <col min="519" max="519" width="14" customWidth="1"/>
    <col min="520" max="520" width="9.7109375" customWidth="1"/>
    <col min="521" max="521" width="42" customWidth="1"/>
    <col min="522" max="522" width="40" customWidth="1"/>
    <col min="523" max="523" width="12" customWidth="1"/>
    <col min="524" max="524" width="19" customWidth="1"/>
    <col min="525" max="525" width="17" customWidth="1"/>
    <col min="526" max="526" width="18" customWidth="1"/>
    <col min="527" max="527" width="17" customWidth="1"/>
    <col min="528" max="528" width="12" customWidth="1"/>
    <col min="529" max="529" width="18" customWidth="1"/>
    <col min="530" max="530" width="5" customWidth="1"/>
    <col min="769" max="769" width="13" customWidth="1"/>
    <col min="770" max="770" width="50" customWidth="1"/>
    <col min="771" max="771" width="21" customWidth="1"/>
    <col min="772" max="772" width="19" customWidth="1"/>
    <col min="773" max="773" width="20" customWidth="1"/>
    <col min="774" max="774" width="4" customWidth="1"/>
    <col min="775" max="775" width="14" customWidth="1"/>
    <col min="776" max="776" width="9.7109375" customWidth="1"/>
    <col min="777" max="777" width="42" customWidth="1"/>
    <col min="778" max="778" width="40" customWidth="1"/>
    <col min="779" max="779" width="12" customWidth="1"/>
    <col min="780" max="780" width="19" customWidth="1"/>
    <col min="781" max="781" width="17" customWidth="1"/>
    <col min="782" max="782" width="18" customWidth="1"/>
    <col min="783" max="783" width="17" customWidth="1"/>
    <col min="784" max="784" width="12" customWidth="1"/>
    <col min="785" max="785" width="18" customWidth="1"/>
    <col min="786" max="786" width="5" customWidth="1"/>
    <col min="1025" max="1025" width="13" customWidth="1"/>
    <col min="1026" max="1026" width="50" customWidth="1"/>
    <col min="1027" max="1027" width="21" customWidth="1"/>
    <col min="1028" max="1028" width="19" customWidth="1"/>
    <col min="1029" max="1029" width="20" customWidth="1"/>
    <col min="1030" max="1030" width="4" customWidth="1"/>
    <col min="1031" max="1031" width="14" customWidth="1"/>
    <col min="1032" max="1032" width="9.7109375" customWidth="1"/>
    <col min="1033" max="1033" width="42" customWidth="1"/>
    <col min="1034" max="1034" width="40" customWidth="1"/>
    <col min="1035" max="1035" width="12" customWidth="1"/>
    <col min="1036" max="1036" width="19" customWidth="1"/>
    <col min="1037" max="1037" width="17" customWidth="1"/>
    <col min="1038" max="1038" width="18" customWidth="1"/>
    <col min="1039" max="1039" width="17" customWidth="1"/>
    <col min="1040" max="1040" width="12" customWidth="1"/>
    <col min="1041" max="1041" width="18" customWidth="1"/>
    <col min="1042" max="1042" width="5" customWidth="1"/>
    <col min="1281" max="1281" width="13" customWidth="1"/>
    <col min="1282" max="1282" width="50" customWidth="1"/>
    <col min="1283" max="1283" width="21" customWidth="1"/>
    <col min="1284" max="1284" width="19" customWidth="1"/>
    <col min="1285" max="1285" width="20" customWidth="1"/>
    <col min="1286" max="1286" width="4" customWidth="1"/>
    <col min="1287" max="1287" width="14" customWidth="1"/>
    <col min="1288" max="1288" width="9.7109375" customWidth="1"/>
    <col min="1289" max="1289" width="42" customWidth="1"/>
    <col min="1290" max="1290" width="40" customWidth="1"/>
    <col min="1291" max="1291" width="12" customWidth="1"/>
    <col min="1292" max="1292" width="19" customWidth="1"/>
    <col min="1293" max="1293" width="17" customWidth="1"/>
    <col min="1294" max="1294" width="18" customWidth="1"/>
    <col min="1295" max="1295" width="17" customWidth="1"/>
    <col min="1296" max="1296" width="12" customWidth="1"/>
    <col min="1297" max="1297" width="18" customWidth="1"/>
    <col min="1298" max="1298" width="5" customWidth="1"/>
    <col min="1537" max="1537" width="13" customWidth="1"/>
    <col min="1538" max="1538" width="50" customWidth="1"/>
    <col min="1539" max="1539" width="21" customWidth="1"/>
    <col min="1540" max="1540" width="19" customWidth="1"/>
    <col min="1541" max="1541" width="20" customWidth="1"/>
    <col min="1542" max="1542" width="4" customWidth="1"/>
    <col min="1543" max="1543" width="14" customWidth="1"/>
    <col min="1544" max="1544" width="9.7109375" customWidth="1"/>
    <col min="1545" max="1545" width="42" customWidth="1"/>
    <col min="1546" max="1546" width="40" customWidth="1"/>
    <col min="1547" max="1547" width="12" customWidth="1"/>
    <col min="1548" max="1548" width="19" customWidth="1"/>
    <col min="1549" max="1549" width="17" customWidth="1"/>
    <col min="1550" max="1550" width="18" customWidth="1"/>
    <col min="1551" max="1551" width="17" customWidth="1"/>
    <col min="1552" max="1552" width="12" customWidth="1"/>
    <col min="1553" max="1553" width="18" customWidth="1"/>
    <col min="1554" max="1554" width="5" customWidth="1"/>
    <col min="1793" max="1793" width="13" customWidth="1"/>
    <col min="1794" max="1794" width="50" customWidth="1"/>
    <col min="1795" max="1795" width="21" customWidth="1"/>
    <col min="1796" max="1796" width="19" customWidth="1"/>
    <col min="1797" max="1797" width="20" customWidth="1"/>
    <col min="1798" max="1798" width="4" customWidth="1"/>
    <col min="1799" max="1799" width="14" customWidth="1"/>
    <col min="1800" max="1800" width="9.7109375" customWidth="1"/>
    <col min="1801" max="1801" width="42" customWidth="1"/>
    <col min="1802" max="1802" width="40" customWidth="1"/>
    <col min="1803" max="1803" width="12" customWidth="1"/>
    <col min="1804" max="1804" width="19" customWidth="1"/>
    <col min="1805" max="1805" width="17" customWidth="1"/>
    <col min="1806" max="1806" width="18" customWidth="1"/>
    <col min="1807" max="1807" width="17" customWidth="1"/>
    <col min="1808" max="1808" width="12" customWidth="1"/>
    <col min="1809" max="1809" width="18" customWidth="1"/>
    <col min="1810" max="1810" width="5" customWidth="1"/>
    <col min="2049" max="2049" width="13" customWidth="1"/>
    <col min="2050" max="2050" width="50" customWidth="1"/>
    <col min="2051" max="2051" width="21" customWidth="1"/>
    <col min="2052" max="2052" width="19" customWidth="1"/>
    <col min="2053" max="2053" width="20" customWidth="1"/>
    <col min="2054" max="2054" width="4" customWidth="1"/>
    <col min="2055" max="2055" width="14" customWidth="1"/>
    <col min="2056" max="2056" width="9.7109375" customWidth="1"/>
    <col min="2057" max="2057" width="42" customWidth="1"/>
    <col min="2058" max="2058" width="40" customWidth="1"/>
    <col min="2059" max="2059" width="12" customWidth="1"/>
    <col min="2060" max="2060" width="19" customWidth="1"/>
    <col min="2061" max="2061" width="17" customWidth="1"/>
    <col min="2062" max="2062" width="18" customWidth="1"/>
    <col min="2063" max="2063" width="17" customWidth="1"/>
    <col min="2064" max="2064" width="12" customWidth="1"/>
    <col min="2065" max="2065" width="18" customWidth="1"/>
    <col min="2066" max="2066" width="5" customWidth="1"/>
    <col min="2305" max="2305" width="13" customWidth="1"/>
    <col min="2306" max="2306" width="50" customWidth="1"/>
    <col min="2307" max="2307" width="21" customWidth="1"/>
    <col min="2308" max="2308" width="19" customWidth="1"/>
    <col min="2309" max="2309" width="20" customWidth="1"/>
    <col min="2310" max="2310" width="4" customWidth="1"/>
    <col min="2311" max="2311" width="14" customWidth="1"/>
    <col min="2312" max="2312" width="9.7109375" customWidth="1"/>
    <col min="2313" max="2313" width="42" customWidth="1"/>
    <col min="2314" max="2314" width="40" customWidth="1"/>
    <col min="2315" max="2315" width="12" customWidth="1"/>
    <col min="2316" max="2316" width="19" customWidth="1"/>
    <col min="2317" max="2317" width="17" customWidth="1"/>
    <col min="2318" max="2318" width="18" customWidth="1"/>
    <col min="2319" max="2319" width="17" customWidth="1"/>
    <col min="2320" max="2320" width="12" customWidth="1"/>
    <col min="2321" max="2321" width="18" customWidth="1"/>
    <col min="2322" max="2322" width="5" customWidth="1"/>
    <col min="2561" max="2561" width="13" customWidth="1"/>
    <col min="2562" max="2562" width="50" customWidth="1"/>
    <col min="2563" max="2563" width="21" customWidth="1"/>
    <col min="2564" max="2564" width="19" customWidth="1"/>
    <col min="2565" max="2565" width="20" customWidth="1"/>
    <col min="2566" max="2566" width="4" customWidth="1"/>
    <col min="2567" max="2567" width="14" customWidth="1"/>
    <col min="2568" max="2568" width="9.7109375" customWidth="1"/>
    <col min="2569" max="2569" width="42" customWidth="1"/>
    <col min="2570" max="2570" width="40" customWidth="1"/>
    <col min="2571" max="2571" width="12" customWidth="1"/>
    <col min="2572" max="2572" width="19" customWidth="1"/>
    <col min="2573" max="2573" width="17" customWidth="1"/>
    <col min="2574" max="2574" width="18" customWidth="1"/>
    <col min="2575" max="2575" width="17" customWidth="1"/>
    <col min="2576" max="2576" width="12" customWidth="1"/>
    <col min="2577" max="2577" width="18" customWidth="1"/>
    <col min="2578" max="2578" width="5" customWidth="1"/>
    <col min="2817" max="2817" width="13" customWidth="1"/>
    <col min="2818" max="2818" width="50" customWidth="1"/>
    <col min="2819" max="2819" width="21" customWidth="1"/>
    <col min="2820" max="2820" width="19" customWidth="1"/>
    <col min="2821" max="2821" width="20" customWidth="1"/>
    <col min="2822" max="2822" width="4" customWidth="1"/>
    <col min="2823" max="2823" width="14" customWidth="1"/>
    <col min="2824" max="2824" width="9.7109375" customWidth="1"/>
    <col min="2825" max="2825" width="42" customWidth="1"/>
    <col min="2826" max="2826" width="40" customWidth="1"/>
    <col min="2827" max="2827" width="12" customWidth="1"/>
    <col min="2828" max="2828" width="19" customWidth="1"/>
    <col min="2829" max="2829" width="17" customWidth="1"/>
    <col min="2830" max="2830" width="18" customWidth="1"/>
    <col min="2831" max="2831" width="17" customWidth="1"/>
    <col min="2832" max="2832" width="12" customWidth="1"/>
    <col min="2833" max="2833" width="18" customWidth="1"/>
    <col min="2834" max="2834" width="5" customWidth="1"/>
    <col min="3073" max="3073" width="13" customWidth="1"/>
    <col min="3074" max="3074" width="50" customWidth="1"/>
    <col min="3075" max="3075" width="21" customWidth="1"/>
    <col min="3076" max="3076" width="19" customWidth="1"/>
    <col min="3077" max="3077" width="20" customWidth="1"/>
    <col min="3078" max="3078" width="4" customWidth="1"/>
    <col min="3079" max="3079" width="14" customWidth="1"/>
    <col min="3080" max="3080" width="9.7109375" customWidth="1"/>
    <col min="3081" max="3081" width="42" customWidth="1"/>
    <col min="3082" max="3082" width="40" customWidth="1"/>
    <col min="3083" max="3083" width="12" customWidth="1"/>
    <col min="3084" max="3084" width="19" customWidth="1"/>
    <col min="3085" max="3085" width="17" customWidth="1"/>
    <col min="3086" max="3086" width="18" customWidth="1"/>
    <col min="3087" max="3087" width="17" customWidth="1"/>
    <col min="3088" max="3088" width="12" customWidth="1"/>
    <col min="3089" max="3089" width="18" customWidth="1"/>
    <col min="3090" max="3090" width="5" customWidth="1"/>
    <col min="3329" max="3329" width="13" customWidth="1"/>
    <col min="3330" max="3330" width="50" customWidth="1"/>
    <col min="3331" max="3331" width="21" customWidth="1"/>
    <col min="3332" max="3332" width="19" customWidth="1"/>
    <col min="3333" max="3333" width="20" customWidth="1"/>
    <col min="3334" max="3334" width="4" customWidth="1"/>
    <col min="3335" max="3335" width="14" customWidth="1"/>
    <col min="3336" max="3336" width="9.7109375" customWidth="1"/>
    <col min="3337" max="3337" width="42" customWidth="1"/>
    <col min="3338" max="3338" width="40" customWidth="1"/>
    <col min="3339" max="3339" width="12" customWidth="1"/>
    <col min="3340" max="3340" width="19" customWidth="1"/>
    <col min="3341" max="3341" width="17" customWidth="1"/>
    <col min="3342" max="3342" width="18" customWidth="1"/>
    <col min="3343" max="3343" width="17" customWidth="1"/>
    <col min="3344" max="3344" width="12" customWidth="1"/>
    <col min="3345" max="3345" width="18" customWidth="1"/>
    <col min="3346" max="3346" width="5" customWidth="1"/>
    <col min="3585" max="3585" width="13" customWidth="1"/>
    <col min="3586" max="3586" width="50" customWidth="1"/>
    <col min="3587" max="3587" width="21" customWidth="1"/>
    <col min="3588" max="3588" width="19" customWidth="1"/>
    <col min="3589" max="3589" width="20" customWidth="1"/>
    <col min="3590" max="3590" width="4" customWidth="1"/>
    <col min="3591" max="3591" width="14" customWidth="1"/>
    <col min="3592" max="3592" width="9.7109375" customWidth="1"/>
    <col min="3593" max="3593" width="42" customWidth="1"/>
    <col min="3594" max="3594" width="40" customWidth="1"/>
    <col min="3595" max="3595" width="12" customWidth="1"/>
    <col min="3596" max="3596" width="19" customWidth="1"/>
    <col min="3597" max="3597" width="17" customWidth="1"/>
    <col min="3598" max="3598" width="18" customWidth="1"/>
    <col min="3599" max="3599" width="17" customWidth="1"/>
    <col min="3600" max="3600" width="12" customWidth="1"/>
    <col min="3601" max="3601" width="18" customWidth="1"/>
    <col min="3602" max="3602" width="5" customWidth="1"/>
    <col min="3841" max="3841" width="13" customWidth="1"/>
    <col min="3842" max="3842" width="50" customWidth="1"/>
    <col min="3843" max="3843" width="21" customWidth="1"/>
    <col min="3844" max="3844" width="19" customWidth="1"/>
    <col min="3845" max="3845" width="20" customWidth="1"/>
    <col min="3846" max="3846" width="4" customWidth="1"/>
    <col min="3847" max="3847" width="14" customWidth="1"/>
    <col min="3848" max="3848" width="9.7109375" customWidth="1"/>
    <col min="3849" max="3849" width="42" customWidth="1"/>
    <col min="3850" max="3850" width="40" customWidth="1"/>
    <col min="3851" max="3851" width="12" customWidth="1"/>
    <col min="3852" max="3852" width="19" customWidth="1"/>
    <col min="3853" max="3853" width="17" customWidth="1"/>
    <col min="3854" max="3854" width="18" customWidth="1"/>
    <col min="3855" max="3855" width="17" customWidth="1"/>
    <col min="3856" max="3856" width="12" customWidth="1"/>
    <col min="3857" max="3857" width="18" customWidth="1"/>
    <col min="3858" max="3858" width="5" customWidth="1"/>
    <col min="4097" max="4097" width="13" customWidth="1"/>
    <col min="4098" max="4098" width="50" customWidth="1"/>
    <col min="4099" max="4099" width="21" customWidth="1"/>
    <col min="4100" max="4100" width="19" customWidth="1"/>
    <col min="4101" max="4101" width="20" customWidth="1"/>
    <col min="4102" max="4102" width="4" customWidth="1"/>
    <col min="4103" max="4103" width="14" customWidth="1"/>
    <col min="4104" max="4104" width="9.7109375" customWidth="1"/>
    <col min="4105" max="4105" width="42" customWidth="1"/>
    <col min="4106" max="4106" width="40" customWidth="1"/>
    <col min="4107" max="4107" width="12" customWidth="1"/>
    <col min="4108" max="4108" width="19" customWidth="1"/>
    <col min="4109" max="4109" width="17" customWidth="1"/>
    <col min="4110" max="4110" width="18" customWidth="1"/>
    <col min="4111" max="4111" width="17" customWidth="1"/>
    <col min="4112" max="4112" width="12" customWidth="1"/>
    <col min="4113" max="4113" width="18" customWidth="1"/>
    <col min="4114" max="4114" width="5" customWidth="1"/>
    <col min="4353" max="4353" width="13" customWidth="1"/>
    <col min="4354" max="4354" width="50" customWidth="1"/>
    <col min="4355" max="4355" width="21" customWidth="1"/>
    <col min="4356" max="4356" width="19" customWidth="1"/>
    <col min="4357" max="4357" width="20" customWidth="1"/>
    <col min="4358" max="4358" width="4" customWidth="1"/>
    <col min="4359" max="4359" width="14" customWidth="1"/>
    <col min="4360" max="4360" width="9.7109375" customWidth="1"/>
    <col min="4361" max="4361" width="42" customWidth="1"/>
    <col min="4362" max="4362" width="40" customWidth="1"/>
    <col min="4363" max="4363" width="12" customWidth="1"/>
    <col min="4364" max="4364" width="19" customWidth="1"/>
    <col min="4365" max="4365" width="17" customWidth="1"/>
    <col min="4366" max="4366" width="18" customWidth="1"/>
    <col min="4367" max="4367" width="17" customWidth="1"/>
    <col min="4368" max="4368" width="12" customWidth="1"/>
    <col min="4369" max="4369" width="18" customWidth="1"/>
    <col min="4370" max="4370" width="5" customWidth="1"/>
    <col min="4609" max="4609" width="13" customWidth="1"/>
    <col min="4610" max="4610" width="50" customWidth="1"/>
    <col min="4611" max="4611" width="21" customWidth="1"/>
    <col min="4612" max="4612" width="19" customWidth="1"/>
    <col min="4613" max="4613" width="20" customWidth="1"/>
    <col min="4614" max="4614" width="4" customWidth="1"/>
    <col min="4615" max="4615" width="14" customWidth="1"/>
    <col min="4616" max="4616" width="9.7109375" customWidth="1"/>
    <col min="4617" max="4617" width="42" customWidth="1"/>
    <col min="4618" max="4618" width="40" customWidth="1"/>
    <col min="4619" max="4619" width="12" customWidth="1"/>
    <col min="4620" max="4620" width="19" customWidth="1"/>
    <col min="4621" max="4621" width="17" customWidth="1"/>
    <col min="4622" max="4622" width="18" customWidth="1"/>
    <col min="4623" max="4623" width="17" customWidth="1"/>
    <col min="4624" max="4624" width="12" customWidth="1"/>
    <col min="4625" max="4625" width="18" customWidth="1"/>
    <col min="4626" max="4626" width="5" customWidth="1"/>
    <col min="4865" max="4865" width="13" customWidth="1"/>
    <col min="4866" max="4866" width="50" customWidth="1"/>
    <col min="4867" max="4867" width="21" customWidth="1"/>
    <col min="4868" max="4868" width="19" customWidth="1"/>
    <col min="4869" max="4869" width="20" customWidth="1"/>
    <col min="4870" max="4870" width="4" customWidth="1"/>
    <col min="4871" max="4871" width="14" customWidth="1"/>
    <col min="4872" max="4872" width="9.7109375" customWidth="1"/>
    <col min="4873" max="4873" width="42" customWidth="1"/>
    <col min="4874" max="4874" width="40" customWidth="1"/>
    <col min="4875" max="4875" width="12" customWidth="1"/>
    <col min="4876" max="4876" width="19" customWidth="1"/>
    <col min="4877" max="4877" width="17" customWidth="1"/>
    <col min="4878" max="4878" width="18" customWidth="1"/>
    <col min="4879" max="4879" width="17" customWidth="1"/>
    <col min="4880" max="4880" width="12" customWidth="1"/>
    <col min="4881" max="4881" width="18" customWidth="1"/>
    <col min="4882" max="4882" width="5" customWidth="1"/>
    <col min="5121" max="5121" width="13" customWidth="1"/>
    <col min="5122" max="5122" width="50" customWidth="1"/>
    <col min="5123" max="5123" width="21" customWidth="1"/>
    <col min="5124" max="5124" width="19" customWidth="1"/>
    <col min="5125" max="5125" width="20" customWidth="1"/>
    <col min="5126" max="5126" width="4" customWidth="1"/>
    <col min="5127" max="5127" width="14" customWidth="1"/>
    <col min="5128" max="5128" width="9.7109375" customWidth="1"/>
    <col min="5129" max="5129" width="42" customWidth="1"/>
    <col min="5130" max="5130" width="40" customWidth="1"/>
    <col min="5131" max="5131" width="12" customWidth="1"/>
    <col min="5132" max="5132" width="19" customWidth="1"/>
    <col min="5133" max="5133" width="17" customWidth="1"/>
    <col min="5134" max="5134" width="18" customWidth="1"/>
    <col min="5135" max="5135" width="17" customWidth="1"/>
    <col min="5136" max="5136" width="12" customWidth="1"/>
    <col min="5137" max="5137" width="18" customWidth="1"/>
    <col min="5138" max="5138" width="5" customWidth="1"/>
    <col min="5377" max="5377" width="13" customWidth="1"/>
    <col min="5378" max="5378" width="50" customWidth="1"/>
    <col min="5379" max="5379" width="21" customWidth="1"/>
    <col min="5380" max="5380" width="19" customWidth="1"/>
    <col min="5381" max="5381" width="20" customWidth="1"/>
    <col min="5382" max="5382" width="4" customWidth="1"/>
    <col min="5383" max="5383" width="14" customWidth="1"/>
    <col min="5384" max="5384" width="9.7109375" customWidth="1"/>
    <col min="5385" max="5385" width="42" customWidth="1"/>
    <col min="5386" max="5386" width="40" customWidth="1"/>
    <col min="5387" max="5387" width="12" customWidth="1"/>
    <col min="5388" max="5388" width="19" customWidth="1"/>
    <col min="5389" max="5389" width="17" customWidth="1"/>
    <col min="5390" max="5390" width="18" customWidth="1"/>
    <col min="5391" max="5391" width="17" customWidth="1"/>
    <col min="5392" max="5392" width="12" customWidth="1"/>
    <col min="5393" max="5393" width="18" customWidth="1"/>
    <col min="5394" max="5394" width="5" customWidth="1"/>
    <col min="5633" max="5633" width="13" customWidth="1"/>
    <col min="5634" max="5634" width="50" customWidth="1"/>
    <col min="5635" max="5635" width="21" customWidth="1"/>
    <col min="5636" max="5636" width="19" customWidth="1"/>
    <col min="5637" max="5637" width="20" customWidth="1"/>
    <col min="5638" max="5638" width="4" customWidth="1"/>
    <col min="5639" max="5639" width="14" customWidth="1"/>
    <col min="5640" max="5640" width="9.7109375" customWidth="1"/>
    <col min="5641" max="5641" width="42" customWidth="1"/>
    <col min="5642" max="5642" width="40" customWidth="1"/>
    <col min="5643" max="5643" width="12" customWidth="1"/>
    <col min="5644" max="5644" width="19" customWidth="1"/>
    <col min="5645" max="5645" width="17" customWidth="1"/>
    <col min="5646" max="5646" width="18" customWidth="1"/>
    <col min="5647" max="5647" width="17" customWidth="1"/>
    <col min="5648" max="5648" width="12" customWidth="1"/>
    <col min="5649" max="5649" width="18" customWidth="1"/>
    <col min="5650" max="5650" width="5" customWidth="1"/>
    <col min="5889" max="5889" width="13" customWidth="1"/>
    <col min="5890" max="5890" width="50" customWidth="1"/>
    <col min="5891" max="5891" width="21" customWidth="1"/>
    <col min="5892" max="5892" width="19" customWidth="1"/>
    <col min="5893" max="5893" width="20" customWidth="1"/>
    <col min="5894" max="5894" width="4" customWidth="1"/>
    <col min="5895" max="5895" width="14" customWidth="1"/>
    <col min="5896" max="5896" width="9.7109375" customWidth="1"/>
    <col min="5897" max="5897" width="42" customWidth="1"/>
    <col min="5898" max="5898" width="40" customWidth="1"/>
    <col min="5899" max="5899" width="12" customWidth="1"/>
    <col min="5900" max="5900" width="19" customWidth="1"/>
    <col min="5901" max="5901" width="17" customWidth="1"/>
    <col min="5902" max="5902" width="18" customWidth="1"/>
    <col min="5903" max="5903" width="17" customWidth="1"/>
    <col min="5904" max="5904" width="12" customWidth="1"/>
    <col min="5905" max="5905" width="18" customWidth="1"/>
    <col min="5906" max="5906" width="5" customWidth="1"/>
    <col min="6145" max="6145" width="13" customWidth="1"/>
    <col min="6146" max="6146" width="50" customWidth="1"/>
    <col min="6147" max="6147" width="21" customWidth="1"/>
    <col min="6148" max="6148" width="19" customWidth="1"/>
    <col min="6149" max="6149" width="20" customWidth="1"/>
    <col min="6150" max="6150" width="4" customWidth="1"/>
    <col min="6151" max="6151" width="14" customWidth="1"/>
    <col min="6152" max="6152" width="9.7109375" customWidth="1"/>
    <col min="6153" max="6153" width="42" customWidth="1"/>
    <col min="6154" max="6154" width="40" customWidth="1"/>
    <col min="6155" max="6155" width="12" customWidth="1"/>
    <col min="6156" max="6156" width="19" customWidth="1"/>
    <col min="6157" max="6157" width="17" customWidth="1"/>
    <col min="6158" max="6158" width="18" customWidth="1"/>
    <col min="6159" max="6159" width="17" customWidth="1"/>
    <col min="6160" max="6160" width="12" customWidth="1"/>
    <col min="6161" max="6161" width="18" customWidth="1"/>
    <col min="6162" max="6162" width="5" customWidth="1"/>
    <col min="6401" max="6401" width="13" customWidth="1"/>
    <col min="6402" max="6402" width="50" customWidth="1"/>
    <col min="6403" max="6403" width="21" customWidth="1"/>
    <col min="6404" max="6404" width="19" customWidth="1"/>
    <col min="6405" max="6405" width="20" customWidth="1"/>
    <col min="6406" max="6406" width="4" customWidth="1"/>
    <col min="6407" max="6407" width="14" customWidth="1"/>
    <col min="6408" max="6408" width="9.7109375" customWidth="1"/>
    <col min="6409" max="6409" width="42" customWidth="1"/>
    <col min="6410" max="6410" width="40" customWidth="1"/>
    <col min="6411" max="6411" width="12" customWidth="1"/>
    <col min="6412" max="6412" width="19" customWidth="1"/>
    <col min="6413" max="6413" width="17" customWidth="1"/>
    <col min="6414" max="6414" width="18" customWidth="1"/>
    <col min="6415" max="6415" width="17" customWidth="1"/>
    <col min="6416" max="6416" width="12" customWidth="1"/>
    <col min="6417" max="6417" width="18" customWidth="1"/>
    <col min="6418" max="6418" width="5" customWidth="1"/>
    <col min="6657" max="6657" width="13" customWidth="1"/>
    <col min="6658" max="6658" width="50" customWidth="1"/>
    <col min="6659" max="6659" width="21" customWidth="1"/>
    <col min="6660" max="6660" width="19" customWidth="1"/>
    <col min="6661" max="6661" width="20" customWidth="1"/>
    <col min="6662" max="6662" width="4" customWidth="1"/>
    <col min="6663" max="6663" width="14" customWidth="1"/>
    <col min="6664" max="6664" width="9.7109375" customWidth="1"/>
    <col min="6665" max="6665" width="42" customWidth="1"/>
    <col min="6666" max="6666" width="40" customWidth="1"/>
    <col min="6667" max="6667" width="12" customWidth="1"/>
    <col min="6668" max="6668" width="19" customWidth="1"/>
    <col min="6669" max="6669" width="17" customWidth="1"/>
    <col min="6670" max="6670" width="18" customWidth="1"/>
    <col min="6671" max="6671" width="17" customWidth="1"/>
    <col min="6672" max="6672" width="12" customWidth="1"/>
    <col min="6673" max="6673" width="18" customWidth="1"/>
    <col min="6674" max="6674" width="5" customWidth="1"/>
    <col min="6913" max="6913" width="13" customWidth="1"/>
    <col min="6914" max="6914" width="50" customWidth="1"/>
    <col min="6915" max="6915" width="21" customWidth="1"/>
    <col min="6916" max="6916" width="19" customWidth="1"/>
    <col min="6917" max="6917" width="20" customWidth="1"/>
    <col min="6918" max="6918" width="4" customWidth="1"/>
    <col min="6919" max="6919" width="14" customWidth="1"/>
    <col min="6920" max="6920" width="9.7109375" customWidth="1"/>
    <col min="6921" max="6921" width="42" customWidth="1"/>
    <col min="6922" max="6922" width="40" customWidth="1"/>
    <col min="6923" max="6923" width="12" customWidth="1"/>
    <col min="6924" max="6924" width="19" customWidth="1"/>
    <col min="6925" max="6925" width="17" customWidth="1"/>
    <col min="6926" max="6926" width="18" customWidth="1"/>
    <col min="6927" max="6927" width="17" customWidth="1"/>
    <col min="6928" max="6928" width="12" customWidth="1"/>
    <col min="6929" max="6929" width="18" customWidth="1"/>
    <col min="6930" max="6930" width="5" customWidth="1"/>
    <col min="7169" max="7169" width="13" customWidth="1"/>
    <col min="7170" max="7170" width="50" customWidth="1"/>
    <col min="7171" max="7171" width="21" customWidth="1"/>
    <col min="7172" max="7172" width="19" customWidth="1"/>
    <col min="7173" max="7173" width="20" customWidth="1"/>
    <col min="7174" max="7174" width="4" customWidth="1"/>
    <col min="7175" max="7175" width="14" customWidth="1"/>
    <col min="7176" max="7176" width="9.7109375" customWidth="1"/>
    <col min="7177" max="7177" width="42" customWidth="1"/>
    <col min="7178" max="7178" width="40" customWidth="1"/>
    <col min="7179" max="7179" width="12" customWidth="1"/>
    <col min="7180" max="7180" width="19" customWidth="1"/>
    <col min="7181" max="7181" width="17" customWidth="1"/>
    <col min="7182" max="7182" width="18" customWidth="1"/>
    <col min="7183" max="7183" width="17" customWidth="1"/>
    <col min="7184" max="7184" width="12" customWidth="1"/>
    <col min="7185" max="7185" width="18" customWidth="1"/>
    <col min="7186" max="7186" width="5" customWidth="1"/>
    <col min="7425" max="7425" width="13" customWidth="1"/>
    <col min="7426" max="7426" width="50" customWidth="1"/>
    <col min="7427" max="7427" width="21" customWidth="1"/>
    <col min="7428" max="7428" width="19" customWidth="1"/>
    <col min="7429" max="7429" width="20" customWidth="1"/>
    <col min="7430" max="7430" width="4" customWidth="1"/>
    <col min="7431" max="7431" width="14" customWidth="1"/>
    <col min="7432" max="7432" width="9.7109375" customWidth="1"/>
    <col min="7433" max="7433" width="42" customWidth="1"/>
    <col min="7434" max="7434" width="40" customWidth="1"/>
    <col min="7435" max="7435" width="12" customWidth="1"/>
    <col min="7436" max="7436" width="19" customWidth="1"/>
    <col min="7437" max="7437" width="17" customWidth="1"/>
    <col min="7438" max="7438" width="18" customWidth="1"/>
    <col min="7439" max="7439" width="17" customWidth="1"/>
    <col min="7440" max="7440" width="12" customWidth="1"/>
    <col min="7441" max="7441" width="18" customWidth="1"/>
    <col min="7442" max="7442" width="5" customWidth="1"/>
    <col min="7681" max="7681" width="13" customWidth="1"/>
    <col min="7682" max="7682" width="50" customWidth="1"/>
    <col min="7683" max="7683" width="21" customWidth="1"/>
    <col min="7684" max="7684" width="19" customWidth="1"/>
    <col min="7685" max="7685" width="20" customWidth="1"/>
    <col min="7686" max="7686" width="4" customWidth="1"/>
    <col min="7687" max="7687" width="14" customWidth="1"/>
    <col min="7688" max="7688" width="9.7109375" customWidth="1"/>
    <col min="7689" max="7689" width="42" customWidth="1"/>
    <col min="7690" max="7690" width="40" customWidth="1"/>
    <col min="7691" max="7691" width="12" customWidth="1"/>
    <col min="7692" max="7692" width="19" customWidth="1"/>
    <col min="7693" max="7693" width="17" customWidth="1"/>
    <col min="7694" max="7694" width="18" customWidth="1"/>
    <col min="7695" max="7695" width="17" customWidth="1"/>
    <col min="7696" max="7696" width="12" customWidth="1"/>
    <col min="7697" max="7697" width="18" customWidth="1"/>
    <col min="7698" max="7698" width="5" customWidth="1"/>
    <col min="7937" max="7937" width="13" customWidth="1"/>
    <col min="7938" max="7938" width="50" customWidth="1"/>
    <col min="7939" max="7939" width="21" customWidth="1"/>
    <col min="7940" max="7940" width="19" customWidth="1"/>
    <col min="7941" max="7941" width="20" customWidth="1"/>
    <col min="7942" max="7942" width="4" customWidth="1"/>
    <col min="7943" max="7943" width="14" customWidth="1"/>
    <col min="7944" max="7944" width="9.7109375" customWidth="1"/>
    <col min="7945" max="7945" width="42" customWidth="1"/>
    <col min="7946" max="7946" width="40" customWidth="1"/>
    <col min="7947" max="7947" width="12" customWidth="1"/>
    <col min="7948" max="7948" width="19" customWidth="1"/>
    <col min="7949" max="7949" width="17" customWidth="1"/>
    <col min="7950" max="7950" width="18" customWidth="1"/>
    <col min="7951" max="7951" width="17" customWidth="1"/>
    <col min="7952" max="7952" width="12" customWidth="1"/>
    <col min="7953" max="7953" width="18" customWidth="1"/>
    <col min="7954" max="7954" width="5" customWidth="1"/>
    <col min="8193" max="8193" width="13" customWidth="1"/>
    <col min="8194" max="8194" width="50" customWidth="1"/>
    <col min="8195" max="8195" width="21" customWidth="1"/>
    <col min="8196" max="8196" width="19" customWidth="1"/>
    <col min="8197" max="8197" width="20" customWidth="1"/>
    <col min="8198" max="8198" width="4" customWidth="1"/>
    <col min="8199" max="8199" width="14" customWidth="1"/>
    <col min="8200" max="8200" width="9.7109375" customWidth="1"/>
    <col min="8201" max="8201" width="42" customWidth="1"/>
    <col min="8202" max="8202" width="40" customWidth="1"/>
    <col min="8203" max="8203" width="12" customWidth="1"/>
    <col min="8204" max="8204" width="19" customWidth="1"/>
    <col min="8205" max="8205" width="17" customWidth="1"/>
    <col min="8206" max="8206" width="18" customWidth="1"/>
    <col min="8207" max="8207" width="17" customWidth="1"/>
    <col min="8208" max="8208" width="12" customWidth="1"/>
    <col min="8209" max="8209" width="18" customWidth="1"/>
    <col min="8210" max="8210" width="5" customWidth="1"/>
    <col min="8449" max="8449" width="13" customWidth="1"/>
    <col min="8450" max="8450" width="50" customWidth="1"/>
    <col min="8451" max="8451" width="21" customWidth="1"/>
    <col min="8452" max="8452" width="19" customWidth="1"/>
    <col min="8453" max="8453" width="20" customWidth="1"/>
    <col min="8454" max="8454" width="4" customWidth="1"/>
    <col min="8455" max="8455" width="14" customWidth="1"/>
    <col min="8456" max="8456" width="9.7109375" customWidth="1"/>
    <col min="8457" max="8457" width="42" customWidth="1"/>
    <col min="8458" max="8458" width="40" customWidth="1"/>
    <col min="8459" max="8459" width="12" customWidth="1"/>
    <col min="8460" max="8460" width="19" customWidth="1"/>
    <col min="8461" max="8461" width="17" customWidth="1"/>
    <col min="8462" max="8462" width="18" customWidth="1"/>
    <col min="8463" max="8463" width="17" customWidth="1"/>
    <col min="8464" max="8464" width="12" customWidth="1"/>
    <col min="8465" max="8465" width="18" customWidth="1"/>
    <col min="8466" max="8466" width="5" customWidth="1"/>
    <col min="8705" max="8705" width="13" customWidth="1"/>
    <col min="8706" max="8706" width="50" customWidth="1"/>
    <col min="8707" max="8707" width="21" customWidth="1"/>
    <col min="8708" max="8708" width="19" customWidth="1"/>
    <col min="8709" max="8709" width="20" customWidth="1"/>
    <col min="8710" max="8710" width="4" customWidth="1"/>
    <col min="8711" max="8711" width="14" customWidth="1"/>
    <col min="8712" max="8712" width="9.7109375" customWidth="1"/>
    <col min="8713" max="8713" width="42" customWidth="1"/>
    <col min="8714" max="8714" width="40" customWidth="1"/>
    <col min="8715" max="8715" width="12" customWidth="1"/>
    <col min="8716" max="8716" width="19" customWidth="1"/>
    <col min="8717" max="8717" width="17" customWidth="1"/>
    <col min="8718" max="8718" width="18" customWidth="1"/>
    <col min="8719" max="8719" width="17" customWidth="1"/>
    <col min="8720" max="8720" width="12" customWidth="1"/>
    <col min="8721" max="8721" width="18" customWidth="1"/>
    <col min="8722" max="8722" width="5" customWidth="1"/>
    <col min="8961" max="8961" width="13" customWidth="1"/>
    <col min="8962" max="8962" width="50" customWidth="1"/>
    <col min="8963" max="8963" width="21" customWidth="1"/>
    <col min="8964" max="8964" width="19" customWidth="1"/>
    <col min="8965" max="8965" width="20" customWidth="1"/>
    <col min="8966" max="8966" width="4" customWidth="1"/>
    <col min="8967" max="8967" width="14" customWidth="1"/>
    <col min="8968" max="8968" width="9.7109375" customWidth="1"/>
    <col min="8969" max="8969" width="42" customWidth="1"/>
    <col min="8970" max="8970" width="40" customWidth="1"/>
    <col min="8971" max="8971" width="12" customWidth="1"/>
    <col min="8972" max="8972" width="19" customWidth="1"/>
    <col min="8973" max="8973" width="17" customWidth="1"/>
    <col min="8974" max="8974" width="18" customWidth="1"/>
    <col min="8975" max="8975" width="17" customWidth="1"/>
    <col min="8976" max="8976" width="12" customWidth="1"/>
    <col min="8977" max="8977" width="18" customWidth="1"/>
    <col min="8978" max="8978" width="5" customWidth="1"/>
    <col min="9217" max="9217" width="13" customWidth="1"/>
    <col min="9218" max="9218" width="50" customWidth="1"/>
    <col min="9219" max="9219" width="21" customWidth="1"/>
    <col min="9220" max="9220" width="19" customWidth="1"/>
    <col min="9221" max="9221" width="20" customWidth="1"/>
    <col min="9222" max="9222" width="4" customWidth="1"/>
    <col min="9223" max="9223" width="14" customWidth="1"/>
    <col min="9224" max="9224" width="9.7109375" customWidth="1"/>
    <col min="9225" max="9225" width="42" customWidth="1"/>
    <col min="9226" max="9226" width="40" customWidth="1"/>
    <col min="9227" max="9227" width="12" customWidth="1"/>
    <col min="9228" max="9228" width="19" customWidth="1"/>
    <col min="9229" max="9229" width="17" customWidth="1"/>
    <col min="9230" max="9230" width="18" customWidth="1"/>
    <col min="9231" max="9231" width="17" customWidth="1"/>
    <col min="9232" max="9232" width="12" customWidth="1"/>
    <col min="9233" max="9233" width="18" customWidth="1"/>
    <col min="9234" max="9234" width="5" customWidth="1"/>
    <col min="9473" max="9473" width="13" customWidth="1"/>
    <col min="9474" max="9474" width="50" customWidth="1"/>
    <col min="9475" max="9475" width="21" customWidth="1"/>
    <col min="9476" max="9476" width="19" customWidth="1"/>
    <col min="9477" max="9477" width="20" customWidth="1"/>
    <col min="9478" max="9478" width="4" customWidth="1"/>
    <col min="9479" max="9479" width="14" customWidth="1"/>
    <col min="9480" max="9480" width="9.7109375" customWidth="1"/>
    <col min="9481" max="9481" width="42" customWidth="1"/>
    <col min="9482" max="9482" width="40" customWidth="1"/>
    <col min="9483" max="9483" width="12" customWidth="1"/>
    <col min="9484" max="9484" width="19" customWidth="1"/>
    <col min="9485" max="9485" width="17" customWidth="1"/>
    <col min="9486" max="9486" width="18" customWidth="1"/>
    <col min="9487" max="9487" width="17" customWidth="1"/>
    <col min="9488" max="9488" width="12" customWidth="1"/>
    <col min="9489" max="9489" width="18" customWidth="1"/>
    <col min="9490" max="9490" width="5" customWidth="1"/>
    <col min="9729" max="9729" width="13" customWidth="1"/>
    <col min="9730" max="9730" width="50" customWidth="1"/>
    <col min="9731" max="9731" width="21" customWidth="1"/>
    <col min="9732" max="9732" width="19" customWidth="1"/>
    <col min="9733" max="9733" width="20" customWidth="1"/>
    <col min="9734" max="9734" width="4" customWidth="1"/>
    <col min="9735" max="9735" width="14" customWidth="1"/>
    <col min="9736" max="9736" width="9.7109375" customWidth="1"/>
    <col min="9737" max="9737" width="42" customWidth="1"/>
    <col min="9738" max="9738" width="40" customWidth="1"/>
    <col min="9739" max="9739" width="12" customWidth="1"/>
    <col min="9740" max="9740" width="19" customWidth="1"/>
    <col min="9741" max="9741" width="17" customWidth="1"/>
    <col min="9742" max="9742" width="18" customWidth="1"/>
    <col min="9743" max="9743" width="17" customWidth="1"/>
    <col min="9744" max="9744" width="12" customWidth="1"/>
    <col min="9745" max="9745" width="18" customWidth="1"/>
    <col min="9746" max="9746" width="5" customWidth="1"/>
    <col min="9985" max="9985" width="13" customWidth="1"/>
    <col min="9986" max="9986" width="50" customWidth="1"/>
    <col min="9987" max="9987" width="21" customWidth="1"/>
    <col min="9988" max="9988" width="19" customWidth="1"/>
    <col min="9989" max="9989" width="20" customWidth="1"/>
    <col min="9990" max="9990" width="4" customWidth="1"/>
    <col min="9991" max="9991" width="14" customWidth="1"/>
    <col min="9992" max="9992" width="9.7109375" customWidth="1"/>
    <col min="9993" max="9993" width="42" customWidth="1"/>
    <col min="9994" max="9994" width="40" customWidth="1"/>
    <col min="9995" max="9995" width="12" customWidth="1"/>
    <col min="9996" max="9996" width="19" customWidth="1"/>
    <col min="9997" max="9997" width="17" customWidth="1"/>
    <col min="9998" max="9998" width="18" customWidth="1"/>
    <col min="9999" max="9999" width="17" customWidth="1"/>
    <col min="10000" max="10000" width="12" customWidth="1"/>
    <col min="10001" max="10001" width="18" customWidth="1"/>
    <col min="10002" max="10002" width="5" customWidth="1"/>
    <col min="10241" max="10241" width="13" customWidth="1"/>
    <col min="10242" max="10242" width="50" customWidth="1"/>
    <col min="10243" max="10243" width="21" customWidth="1"/>
    <col min="10244" max="10244" width="19" customWidth="1"/>
    <col min="10245" max="10245" width="20" customWidth="1"/>
    <col min="10246" max="10246" width="4" customWidth="1"/>
    <col min="10247" max="10247" width="14" customWidth="1"/>
    <col min="10248" max="10248" width="9.7109375" customWidth="1"/>
    <col min="10249" max="10249" width="42" customWidth="1"/>
    <col min="10250" max="10250" width="40" customWidth="1"/>
    <col min="10251" max="10251" width="12" customWidth="1"/>
    <col min="10252" max="10252" width="19" customWidth="1"/>
    <col min="10253" max="10253" width="17" customWidth="1"/>
    <col min="10254" max="10254" width="18" customWidth="1"/>
    <col min="10255" max="10255" width="17" customWidth="1"/>
    <col min="10256" max="10256" width="12" customWidth="1"/>
    <col min="10257" max="10257" width="18" customWidth="1"/>
    <col min="10258" max="10258" width="5" customWidth="1"/>
    <col min="10497" max="10497" width="13" customWidth="1"/>
    <col min="10498" max="10498" width="50" customWidth="1"/>
    <col min="10499" max="10499" width="21" customWidth="1"/>
    <col min="10500" max="10500" width="19" customWidth="1"/>
    <col min="10501" max="10501" width="20" customWidth="1"/>
    <col min="10502" max="10502" width="4" customWidth="1"/>
    <col min="10503" max="10503" width="14" customWidth="1"/>
    <col min="10504" max="10504" width="9.7109375" customWidth="1"/>
    <col min="10505" max="10505" width="42" customWidth="1"/>
    <col min="10506" max="10506" width="40" customWidth="1"/>
    <col min="10507" max="10507" width="12" customWidth="1"/>
    <col min="10508" max="10508" width="19" customWidth="1"/>
    <col min="10509" max="10509" width="17" customWidth="1"/>
    <col min="10510" max="10510" width="18" customWidth="1"/>
    <col min="10511" max="10511" width="17" customWidth="1"/>
    <col min="10512" max="10512" width="12" customWidth="1"/>
    <col min="10513" max="10513" width="18" customWidth="1"/>
    <col min="10514" max="10514" width="5" customWidth="1"/>
    <col min="10753" max="10753" width="13" customWidth="1"/>
    <col min="10754" max="10754" width="50" customWidth="1"/>
    <col min="10755" max="10755" width="21" customWidth="1"/>
    <col min="10756" max="10756" width="19" customWidth="1"/>
    <col min="10757" max="10757" width="20" customWidth="1"/>
    <col min="10758" max="10758" width="4" customWidth="1"/>
    <col min="10759" max="10759" width="14" customWidth="1"/>
    <col min="10760" max="10760" width="9.7109375" customWidth="1"/>
    <col min="10761" max="10761" width="42" customWidth="1"/>
    <col min="10762" max="10762" width="40" customWidth="1"/>
    <col min="10763" max="10763" width="12" customWidth="1"/>
    <col min="10764" max="10764" width="19" customWidth="1"/>
    <col min="10765" max="10765" width="17" customWidth="1"/>
    <col min="10766" max="10766" width="18" customWidth="1"/>
    <col min="10767" max="10767" width="17" customWidth="1"/>
    <col min="10768" max="10768" width="12" customWidth="1"/>
    <col min="10769" max="10769" width="18" customWidth="1"/>
    <col min="10770" max="10770" width="5" customWidth="1"/>
    <col min="11009" max="11009" width="13" customWidth="1"/>
    <col min="11010" max="11010" width="50" customWidth="1"/>
    <col min="11011" max="11011" width="21" customWidth="1"/>
    <col min="11012" max="11012" width="19" customWidth="1"/>
    <col min="11013" max="11013" width="20" customWidth="1"/>
    <col min="11014" max="11014" width="4" customWidth="1"/>
    <col min="11015" max="11015" width="14" customWidth="1"/>
    <col min="11016" max="11016" width="9.7109375" customWidth="1"/>
    <col min="11017" max="11017" width="42" customWidth="1"/>
    <col min="11018" max="11018" width="40" customWidth="1"/>
    <col min="11019" max="11019" width="12" customWidth="1"/>
    <col min="11020" max="11020" width="19" customWidth="1"/>
    <col min="11021" max="11021" width="17" customWidth="1"/>
    <col min="11022" max="11022" width="18" customWidth="1"/>
    <col min="11023" max="11023" width="17" customWidth="1"/>
    <col min="11024" max="11024" width="12" customWidth="1"/>
    <col min="11025" max="11025" width="18" customWidth="1"/>
    <col min="11026" max="11026" width="5" customWidth="1"/>
    <col min="11265" max="11265" width="13" customWidth="1"/>
    <col min="11266" max="11266" width="50" customWidth="1"/>
    <col min="11267" max="11267" width="21" customWidth="1"/>
    <col min="11268" max="11268" width="19" customWidth="1"/>
    <col min="11269" max="11269" width="20" customWidth="1"/>
    <col min="11270" max="11270" width="4" customWidth="1"/>
    <col min="11271" max="11271" width="14" customWidth="1"/>
    <col min="11272" max="11272" width="9.7109375" customWidth="1"/>
    <col min="11273" max="11273" width="42" customWidth="1"/>
    <col min="11274" max="11274" width="40" customWidth="1"/>
    <col min="11275" max="11275" width="12" customWidth="1"/>
    <col min="11276" max="11276" width="19" customWidth="1"/>
    <col min="11277" max="11277" width="17" customWidth="1"/>
    <col min="11278" max="11278" width="18" customWidth="1"/>
    <col min="11279" max="11279" width="17" customWidth="1"/>
    <col min="11280" max="11280" width="12" customWidth="1"/>
    <col min="11281" max="11281" width="18" customWidth="1"/>
    <col min="11282" max="11282" width="5" customWidth="1"/>
    <col min="11521" max="11521" width="13" customWidth="1"/>
    <col min="11522" max="11522" width="50" customWidth="1"/>
    <col min="11523" max="11523" width="21" customWidth="1"/>
    <col min="11524" max="11524" width="19" customWidth="1"/>
    <col min="11525" max="11525" width="20" customWidth="1"/>
    <col min="11526" max="11526" width="4" customWidth="1"/>
    <col min="11527" max="11527" width="14" customWidth="1"/>
    <col min="11528" max="11528" width="9.7109375" customWidth="1"/>
    <col min="11529" max="11529" width="42" customWidth="1"/>
    <col min="11530" max="11530" width="40" customWidth="1"/>
    <col min="11531" max="11531" width="12" customWidth="1"/>
    <col min="11532" max="11532" width="19" customWidth="1"/>
    <col min="11533" max="11533" width="17" customWidth="1"/>
    <col min="11534" max="11534" width="18" customWidth="1"/>
    <col min="11535" max="11535" width="17" customWidth="1"/>
    <col min="11536" max="11536" width="12" customWidth="1"/>
    <col min="11537" max="11537" width="18" customWidth="1"/>
    <col min="11538" max="11538" width="5" customWidth="1"/>
    <col min="11777" max="11777" width="13" customWidth="1"/>
    <col min="11778" max="11778" width="50" customWidth="1"/>
    <col min="11779" max="11779" width="21" customWidth="1"/>
    <col min="11780" max="11780" width="19" customWidth="1"/>
    <col min="11781" max="11781" width="20" customWidth="1"/>
    <col min="11782" max="11782" width="4" customWidth="1"/>
    <col min="11783" max="11783" width="14" customWidth="1"/>
    <col min="11784" max="11784" width="9.7109375" customWidth="1"/>
    <col min="11785" max="11785" width="42" customWidth="1"/>
    <col min="11786" max="11786" width="40" customWidth="1"/>
    <col min="11787" max="11787" width="12" customWidth="1"/>
    <col min="11788" max="11788" width="19" customWidth="1"/>
    <col min="11789" max="11789" width="17" customWidth="1"/>
    <col min="11790" max="11790" width="18" customWidth="1"/>
    <col min="11791" max="11791" width="17" customWidth="1"/>
    <col min="11792" max="11792" width="12" customWidth="1"/>
    <col min="11793" max="11793" width="18" customWidth="1"/>
    <col min="11794" max="11794" width="5" customWidth="1"/>
    <col min="12033" max="12033" width="13" customWidth="1"/>
    <col min="12034" max="12034" width="50" customWidth="1"/>
    <col min="12035" max="12035" width="21" customWidth="1"/>
    <col min="12036" max="12036" width="19" customWidth="1"/>
    <col min="12037" max="12037" width="20" customWidth="1"/>
    <col min="12038" max="12038" width="4" customWidth="1"/>
    <col min="12039" max="12039" width="14" customWidth="1"/>
    <col min="12040" max="12040" width="9.7109375" customWidth="1"/>
    <col min="12041" max="12041" width="42" customWidth="1"/>
    <col min="12042" max="12042" width="40" customWidth="1"/>
    <col min="12043" max="12043" width="12" customWidth="1"/>
    <col min="12044" max="12044" width="19" customWidth="1"/>
    <col min="12045" max="12045" width="17" customWidth="1"/>
    <col min="12046" max="12046" width="18" customWidth="1"/>
    <col min="12047" max="12047" width="17" customWidth="1"/>
    <col min="12048" max="12048" width="12" customWidth="1"/>
    <col min="12049" max="12049" width="18" customWidth="1"/>
    <col min="12050" max="12050" width="5" customWidth="1"/>
    <col min="12289" max="12289" width="13" customWidth="1"/>
    <col min="12290" max="12290" width="50" customWidth="1"/>
    <col min="12291" max="12291" width="21" customWidth="1"/>
    <col min="12292" max="12292" width="19" customWidth="1"/>
    <col min="12293" max="12293" width="20" customWidth="1"/>
    <col min="12294" max="12294" width="4" customWidth="1"/>
    <col min="12295" max="12295" width="14" customWidth="1"/>
    <col min="12296" max="12296" width="9.7109375" customWidth="1"/>
    <col min="12297" max="12297" width="42" customWidth="1"/>
    <col min="12298" max="12298" width="40" customWidth="1"/>
    <col min="12299" max="12299" width="12" customWidth="1"/>
    <col min="12300" max="12300" width="19" customWidth="1"/>
    <col min="12301" max="12301" width="17" customWidth="1"/>
    <col min="12302" max="12302" width="18" customWidth="1"/>
    <col min="12303" max="12303" width="17" customWidth="1"/>
    <col min="12304" max="12304" width="12" customWidth="1"/>
    <col min="12305" max="12305" width="18" customWidth="1"/>
    <col min="12306" max="12306" width="5" customWidth="1"/>
    <col min="12545" max="12545" width="13" customWidth="1"/>
    <col min="12546" max="12546" width="50" customWidth="1"/>
    <col min="12547" max="12547" width="21" customWidth="1"/>
    <col min="12548" max="12548" width="19" customWidth="1"/>
    <col min="12549" max="12549" width="20" customWidth="1"/>
    <col min="12550" max="12550" width="4" customWidth="1"/>
    <col min="12551" max="12551" width="14" customWidth="1"/>
    <col min="12552" max="12552" width="9.7109375" customWidth="1"/>
    <col min="12553" max="12553" width="42" customWidth="1"/>
    <col min="12554" max="12554" width="40" customWidth="1"/>
    <col min="12555" max="12555" width="12" customWidth="1"/>
    <col min="12556" max="12556" width="19" customWidth="1"/>
    <col min="12557" max="12557" width="17" customWidth="1"/>
    <col min="12558" max="12558" width="18" customWidth="1"/>
    <col min="12559" max="12559" width="17" customWidth="1"/>
    <col min="12560" max="12560" width="12" customWidth="1"/>
    <col min="12561" max="12561" width="18" customWidth="1"/>
    <col min="12562" max="12562" width="5" customWidth="1"/>
    <col min="12801" max="12801" width="13" customWidth="1"/>
    <col min="12802" max="12802" width="50" customWidth="1"/>
    <col min="12803" max="12803" width="21" customWidth="1"/>
    <col min="12804" max="12804" width="19" customWidth="1"/>
    <col min="12805" max="12805" width="20" customWidth="1"/>
    <col min="12806" max="12806" width="4" customWidth="1"/>
    <col min="12807" max="12807" width="14" customWidth="1"/>
    <col min="12808" max="12808" width="9.7109375" customWidth="1"/>
    <col min="12809" max="12809" width="42" customWidth="1"/>
    <col min="12810" max="12810" width="40" customWidth="1"/>
    <col min="12811" max="12811" width="12" customWidth="1"/>
    <col min="12812" max="12812" width="19" customWidth="1"/>
    <col min="12813" max="12813" width="17" customWidth="1"/>
    <col min="12814" max="12814" width="18" customWidth="1"/>
    <col min="12815" max="12815" width="17" customWidth="1"/>
    <col min="12816" max="12816" width="12" customWidth="1"/>
    <col min="12817" max="12817" width="18" customWidth="1"/>
    <col min="12818" max="12818" width="5" customWidth="1"/>
    <col min="13057" max="13057" width="13" customWidth="1"/>
    <col min="13058" max="13058" width="50" customWidth="1"/>
    <col min="13059" max="13059" width="21" customWidth="1"/>
    <col min="13060" max="13060" width="19" customWidth="1"/>
    <col min="13061" max="13061" width="20" customWidth="1"/>
    <col min="13062" max="13062" width="4" customWidth="1"/>
    <col min="13063" max="13063" width="14" customWidth="1"/>
    <col min="13064" max="13064" width="9.7109375" customWidth="1"/>
    <col min="13065" max="13065" width="42" customWidth="1"/>
    <col min="13066" max="13066" width="40" customWidth="1"/>
    <col min="13067" max="13067" width="12" customWidth="1"/>
    <col min="13068" max="13068" width="19" customWidth="1"/>
    <col min="13069" max="13069" width="17" customWidth="1"/>
    <col min="13070" max="13070" width="18" customWidth="1"/>
    <col min="13071" max="13071" width="17" customWidth="1"/>
    <col min="13072" max="13072" width="12" customWidth="1"/>
    <col min="13073" max="13073" width="18" customWidth="1"/>
    <col min="13074" max="13074" width="5" customWidth="1"/>
    <col min="13313" max="13313" width="13" customWidth="1"/>
    <col min="13314" max="13314" width="50" customWidth="1"/>
    <col min="13315" max="13315" width="21" customWidth="1"/>
    <col min="13316" max="13316" width="19" customWidth="1"/>
    <col min="13317" max="13317" width="20" customWidth="1"/>
    <col min="13318" max="13318" width="4" customWidth="1"/>
    <col min="13319" max="13319" width="14" customWidth="1"/>
    <col min="13320" max="13320" width="9.7109375" customWidth="1"/>
    <col min="13321" max="13321" width="42" customWidth="1"/>
    <col min="13322" max="13322" width="40" customWidth="1"/>
    <col min="13323" max="13323" width="12" customWidth="1"/>
    <col min="13324" max="13324" width="19" customWidth="1"/>
    <col min="13325" max="13325" width="17" customWidth="1"/>
    <col min="13326" max="13326" width="18" customWidth="1"/>
    <col min="13327" max="13327" width="17" customWidth="1"/>
    <col min="13328" max="13328" width="12" customWidth="1"/>
    <col min="13329" max="13329" width="18" customWidth="1"/>
    <col min="13330" max="13330" width="5" customWidth="1"/>
    <col min="13569" max="13569" width="13" customWidth="1"/>
    <col min="13570" max="13570" width="50" customWidth="1"/>
    <col min="13571" max="13571" width="21" customWidth="1"/>
    <col min="13572" max="13572" width="19" customWidth="1"/>
    <col min="13573" max="13573" width="20" customWidth="1"/>
    <col min="13574" max="13574" width="4" customWidth="1"/>
    <col min="13575" max="13575" width="14" customWidth="1"/>
    <col min="13576" max="13576" width="9.7109375" customWidth="1"/>
    <col min="13577" max="13577" width="42" customWidth="1"/>
    <col min="13578" max="13578" width="40" customWidth="1"/>
    <col min="13579" max="13579" width="12" customWidth="1"/>
    <col min="13580" max="13580" width="19" customWidth="1"/>
    <col min="13581" max="13581" width="17" customWidth="1"/>
    <col min="13582" max="13582" width="18" customWidth="1"/>
    <col min="13583" max="13583" width="17" customWidth="1"/>
    <col min="13584" max="13584" width="12" customWidth="1"/>
    <col min="13585" max="13585" width="18" customWidth="1"/>
    <col min="13586" max="13586" width="5" customWidth="1"/>
    <col min="13825" max="13825" width="13" customWidth="1"/>
    <col min="13826" max="13826" width="50" customWidth="1"/>
    <col min="13827" max="13827" width="21" customWidth="1"/>
    <col min="13828" max="13828" width="19" customWidth="1"/>
    <col min="13829" max="13829" width="20" customWidth="1"/>
    <col min="13830" max="13830" width="4" customWidth="1"/>
    <col min="13831" max="13831" width="14" customWidth="1"/>
    <col min="13832" max="13832" width="9.7109375" customWidth="1"/>
    <col min="13833" max="13833" width="42" customWidth="1"/>
    <col min="13834" max="13834" width="40" customWidth="1"/>
    <col min="13835" max="13835" width="12" customWidth="1"/>
    <col min="13836" max="13836" width="19" customWidth="1"/>
    <col min="13837" max="13837" width="17" customWidth="1"/>
    <col min="13838" max="13838" width="18" customWidth="1"/>
    <col min="13839" max="13839" width="17" customWidth="1"/>
    <col min="13840" max="13840" width="12" customWidth="1"/>
    <col min="13841" max="13841" width="18" customWidth="1"/>
    <col min="13842" max="13842" width="5" customWidth="1"/>
    <col min="14081" max="14081" width="13" customWidth="1"/>
    <col min="14082" max="14082" width="50" customWidth="1"/>
    <col min="14083" max="14083" width="21" customWidth="1"/>
    <col min="14084" max="14084" width="19" customWidth="1"/>
    <col min="14085" max="14085" width="20" customWidth="1"/>
    <col min="14086" max="14086" width="4" customWidth="1"/>
    <col min="14087" max="14087" width="14" customWidth="1"/>
    <col min="14088" max="14088" width="9.7109375" customWidth="1"/>
    <col min="14089" max="14089" width="42" customWidth="1"/>
    <col min="14090" max="14090" width="40" customWidth="1"/>
    <col min="14091" max="14091" width="12" customWidth="1"/>
    <col min="14092" max="14092" width="19" customWidth="1"/>
    <col min="14093" max="14093" width="17" customWidth="1"/>
    <col min="14094" max="14094" width="18" customWidth="1"/>
    <col min="14095" max="14095" width="17" customWidth="1"/>
    <col min="14096" max="14096" width="12" customWidth="1"/>
    <col min="14097" max="14097" width="18" customWidth="1"/>
    <col min="14098" max="14098" width="5" customWidth="1"/>
    <col min="14337" max="14337" width="13" customWidth="1"/>
    <col min="14338" max="14338" width="50" customWidth="1"/>
    <col min="14339" max="14339" width="21" customWidth="1"/>
    <col min="14340" max="14340" width="19" customWidth="1"/>
    <col min="14341" max="14341" width="20" customWidth="1"/>
    <col min="14342" max="14342" width="4" customWidth="1"/>
    <col min="14343" max="14343" width="14" customWidth="1"/>
    <col min="14344" max="14344" width="9.7109375" customWidth="1"/>
    <col min="14345" max="14345" width="42" customWidth="1"/>
    <col min="14346" max="14346" width="40" customWidth="1"/>
    <col min="14347" max="14347" width="12" customWidth="1"/>
    <col min="14348" max="14348" width="19" customWidth="1"/>
    <col min="14349" max="14349" width="17" customWidth="1"/>
    <col min="14350" max="14350" width="18" customWidth="1"/>
    <col min="14351" max="14351" width="17" customWidth="1"/>
    <col min="14352" max="14352" width="12" customWidth="1"/>
    <col min="14353" max="14353" width="18" customWidth="1"/>
    <col min="14354" max="14354" width="5" customWidth="1"/>
    <col min="14593" max="14593" width="13" customWidth="1"/>
    <col min="14594" max="14594" width="50" customWidth="1"/>
    <col min="14595" max="14595" width="21" customWidth="1"/>
    <col min="14596" max="14596" width="19" customWidth="1"/>
    <col min="14597" max="14597" width="20" customWidth="1"/>
    <col min="14598" max="14598" width="4" customWidth="1"/>
    <col min="14599" max="14599" width="14" customWidth="1"/>
    <col min="14600" max="14600" width="9.7109375" customWidth="1"/>
    <col min="14601" max="14601" width="42" customWidth="1"/>
    <col min="14602" max="14602" width="40" customWidth="1"/>
    <col min="14603" max="14603" width="12" customWidth="1"/>
    <col min="14604" max="14604" width="19" customWidth="1"/>
    <col min="14605" max="14605" width="17" customWidth="1"/>
    <col min="14606" max="14606" width="18" customWidth="1"/>
    <col min="14607" max="14607" width="17" customWidth="1"/>
    <col min="14608" max="14608" width="12" customWidth="1"/>
    <col min="14609" max="14609" width="18" customWidth="1"/>
    <col min="14610" max="14610" width="5" customWidth="1"/>
    <col min="14849" max="14849" width="13" customWidth="1"/>
    <col min="14850" max="14850" width="50" customWidth="1"/>
    <col min="14851" max="14851" width="21" customWidth="1"/>
    <col min="14852" max="14852" width="19" customWidth="1"/>
    <col min="14853" max="14853" width="20" customWidth="1"/>
    <col min="14854" max="14854" width="4" customWidth="1"/>
    <col min="14855" max="14855" width="14" customWidth="1"/>
    <col min="14856" max="14856" width="9.7109375" customWidth="1"/>
    <col min="14857" max="14857" width="42" customWidth="1"/>
    <col min="14858" max="14858" width="40" customWidth="1"/>
    <col min="14859" max="14859" width="12" customWidth="1"/>
    <col min="14860" max="14860" width="19" customWidth="1"/>
    <col min="14861" max="14861" width="17" customWidth="1"/>
    <col min="14862" max="14862" width="18" customWidth="1"/>
    <col min="14863" max="14863" width="17" customWidth="1"/>
    <col min="14864" max="14864" width="12" customWidth="1"/>
    <col min="14865" max="14865" width="18" customWidth="1"/>
    <col min="14866" max="14866" width="5" customWidth="1"/>
    <col min="15105" max="15105" width="13" customWidth="1"/>
    <col min="15106" max="15106" width="50" customWidth="1"/>
    <col min="15107" max="15107" width="21" customWidth="1"/>
    <col min="15108" max="15108" width="19" customWidth="1"/>
    <col min="15109" max="15109" width="20" customWidth="1"/>
    <col min="15110" max="15110" width="4" customWidth="1"/>
    <col min="15111" max="15111" width="14" customWidth="1"/>
    <col min="15112" max="15112" width="9.7109375" customWidth="1"/>
    <col min="15113" max="15113" width="42" customWidth="1"/>
    <col min="15114" max="15114" width="40" customWidth="1"/>
    <col min="15115" max="15115" width="12" customWidth="1"/>
    <col min="15116" max="15116" width="19" customWidth="1"/>
    <col min="15117" max="15117" width="17" customWidth="1"/>
    <col min="15118" max="15118" width="18" customWidth="1"/>
    <col min="15119" max="15119" width="17" customWidth="1"/>
    <col min="15120" max="15120" width="12" customWidth="1"/>
    <col min="15121" max="15121" width="18" customWidth="1"/>
    <col min="15122" max="15122" width="5" customWidth="1"/>
    <col min="15361" max="15361" width="13" customWidth="1"/>
    <col min="15362" max="15362" width="50" customWidth="1"/>
    <col min="15363" max="15363" width="21" customWidth="1"/>
    <col min="15364" max="15364" width="19" customWidth="1"/>
    <col min="15365" max="15365" width="20" customWidth="1"/>
    <col min="15366" max="15366" width="4" customWidth="1"/>
    <col min="15367" max="15367" width="14" customWidth="1"/>
    <col min="15368" max="15368" width="9.7109375" customWidth="1"/>
    <col min="15369" max="15369" width="42" customWidth="1"/>
    <col min="15370" max="15370" width="40" customWidth="1"/>
    <col min="15371" max="15371" width="12" customWidth="1"/>
    <col min="15372" max="15372" width="19" customWidth="1"/>
    <col min="15373" max="15373" width="17" customWidth="1"/>
    <col min="15374" max="15374" width="18" customWidth="1"/>
    <col min="15375" max="15375" width="17" customWidth="1"/>
    <col min="15376" max="15376" width="12" customWidth="1"/>
    <col min="15377" max="15377" width="18" customWidth="1"/>
    <col min="15378" max="15378" width="5" customWidth="1"/>
    <col min="15617" max="15617" width="13" customWidth="1"/>
    <col min="15618" max="15618" width="50" customWidth="1"/>
    <col min="15619" max="15619" width="21" customWidth="1"/>
    <col min="15620" max="15620" width="19" customWidth="1"/>
    <col min="15621" max="15621" width="20" customWidth="1"/>
    <col min="15622" max="15622" width="4" customWidth="1"/>
    <col min="15623" max="15623" width="14" customWidth="1"/>
    <col min="15624" max="15624" width="9.7109375" customWidth="1"/>
    <col min="15625" max="15625" width="42" customWidth="1"/>
    <col min="15626" max="15626" width="40" customWidth="1"/>
    <col min="15627" max="15627" width="12" customWidth="1"/>
    <col min="15628" max="15628" width="19" customWidth="1"/>
    <col min="15629" max="15629" width="17" customWidth="1"/>
    <col min="15630" max="15630" width="18" customWidth="1"/>
    <col min="15631" max="15631" width="17" customWidth="1"/>
    <col min="15632" max="15632" width="12" customWidth="1"/>
    <col min="15633" max="15633" width="18" customWidth="1"/>
    <col min="15634" max="15634" width="5" customWidth="1"/>
    <col min="15873" max="15873" width="13" customWidth="1"/>
    <col min="15874" max="15874" width="50" customWidth="1"/>
    <col min="15875" max="15875" width="21" customWidth="1"/>
    <col min="15876" max="15876" width="19" customWidth="1"/>
    <col min="15877" max="15877" width="20" customWidth="1"/>
    <col min="15878" max="15878" width="4" customWidth="1"/>
    <col min="15879" max="15879" width="14" customWidth="1"/>
    <col min="15880" max="15880" width="9.7109375" customWidth="1"/>
    <col min="15881" max="15881" width="42" customWidth="1"/>
    <col min="15882" max="15882" width="40" customWidth="1"/>
    <col min="15883" max="15883" width="12" customWidth="1"/>
    <col min="15884" max="15884" width="19" customWidth="1"/>
    <col min="15885" max="15885" width="17" customWidth="1"/>
    <col min="15886" max="15886" width="18" customWidth="1"/>
    <col min="15887" max="15887" width="17" customWidth="1"/>
    <col min="15888" max="15888" width="12" customWidth="1"/>
    <col min="15889" max="15889" width="18" customWidth="1"/>
    <col min="15890" max="15890" width="5" customWidth="1"/>
    <col min="16129" max="16129" width="13" customWidth="1"/>
    <col min="16130" max="16130" width="50" customWidth="1"/>
    <col min="16131" max="16131" width="21" customWidth="1"/>
    <col min="16132" max="16132" width="19" customWidth="1"/>
    <col min="16133" max="16133" width="20" customWidth="1"/>
    <col min="16134" max="16134" width="4" customWidth="1"/>
    <col min="16135" max="16135" width="14" customWidth="1"/>
    <col min="16136" max="16136" width="9.7109375" customWidth="1"/>
    <col min="16137" max="16137" width="42" customWidth="1"/>
    <col min="16138" max="16138" width="40" customWidth="1"/>
    <col min="16139" max="16139" width="12" customWidth="1"/>
    <col min="16140" max="16140" width="19" customWidth="1"/>
    <col min="16141" max="16141" width="17" customWidth="1"/>
    <col min="16142" max="16142" width="18" customWidth="1"/>
    <col min="16143" max="16143" width="17" customWidth="1"/>
    <col min="16144" max="16144" width="12" customWidth="1"/>
    <col min="16145" max="16145" width="18" customWidth="1"/>
    <col min="16146" max="16146" width="5" customWidth="1"/>
  </cols>
  <sheetData>
    <row r="3" spans="1:18" x14ac:dyDescent="0.25">
      <c r="A3" s="144" t="s">
        <v>197</v>
      </c>
    </row>
    <row r="5" spans="1:18" x14ac:dyDescent="0.25">
      <c r="A5" s="145" t="s">
        <v>1</v>
      </c>
      <c r="B5" s="149" t="s">
        <v>2</v>
      </c>
      <c r="C5" s="145" t="s">
        <v>3</v>
      </c>
      <c r="D5" s="145" t="s">
        <v>4</v>
      </c>
      <c r="E5" s="145" t="s">
        <v>5</v>
      </c>
      <c r="F5" s="145" t="s">
        <v>6</v>
      </c>
      <c r="G5" s="145" t="s">
        <v>7</v>
      </c>
      <c r="H5" s="145" t="s">
        <v>198</v>
      </c>
      <c r="I5" s="145" t="s">
        <v>199</v>
      </c>
      <c r="J5" s="145" t="s">
        <v>200</v>
      </c>
      <c r="K5" s="145" t="s">
        <v>201</v>
      </c>
      <c r="L5" s="145" t="s">
        <v>202</v>
      </c>
      <c r="M5" s="145" t="s">
        <v>203</v>
      </c>
      <c r="N5" s="145" t="s">
        <v>204</v>
      </c>
      <c r="O5" s="145" t="s">
        <v>205</v>
      </c>
      <c r="P5" s="145" t="s">
        <v>206</v>
      </c>
      <c r="Q5" s="145" t="s">
        <v>207</v>
      </c>
      <c r="R5" s="145" t="s">
        <v>19</v>
      </c>
    </row>
    <row r="6" spans="1:18" x14ac:dyDescent="0.25">
      <c r="A6" s="146" t="s">
        <v>20</v>
      </c>
      <c r="B6" s="150" t="s">
        <v>289</v>
      </c>
      <c r="C6" s="146">
        <v>4</v>
      </c>
      <c r="D6" s="146">
        <v>7</v>
      </c>
      <c r="E6" s="146" t="s">
        <v>534</v>
      </c>
      <c r="F6" s="146">
        <v>59</v>
      </c>
      <c r="G6" s="147">
        <v>935.04</v>
      </c>
      <c r="H6" s="147">
        <v>1103.3499999999999</v>
      </c>
      <c r="I6" s="147">
        <v>4144.7299999999996</v>
      </c>
      <c r="J6" s="147">
        <v>620.63</v>
      </c>
      <c r="K6" s="147">
        <v>5868.71</v>
      </c>
      <c r="L6" s="147">
        <v>2758.37</v>
      </c>
      <c r="M6" s="146" t="s">
        <v>21</v>
      </c>
      <c r="N6" s="146" t="s">
        <v>21</v>
      </c>
      <c r="O6" s="146" t="s">
        <v>21</v>
      </c>
      <c r="P6" s="147">
        <v>0</v>
      </c>
      <c r="Q6" s="147">
        <v>2758.37</v>
      </c>
      <c r="R6" s="147">
        <v>8627.08</v>
      </c>
    </row>
    <row r="7" spans="1:18" x14ac:dyDescent="0.25">
      <c r="A7" s="146" t="s">
        <v>290</v>
      </c>
      <c r="B7" s="150" t="s">
        <v>291</v>
      </c>
      <c r="C7" s="146">
        <v>4</v>
      </c>
      <c r="D7" s="146">
        <v>7</v>
      </c>
      <c r="E7" s="146" t="s">
        <v>534</v>
      </c>
      <c r="F7" s="146">
        <v>59</v>
      </c>
      <c r="G7" s="147">
        <v>399.93</v>
      </c>
      <c r="H7" s="147">
        <v>471.92</v>
      </c>
      <c r="I7" s="147">
        <v>1532.18</v>
      </c>
      <c r="J7" s="147">
        <v>265.45</v>
      </c>
      <c r="K7" s="147">
        <v>2269.5500000000002</v>
      </c>
      <c r="L7" s="147">
        <v>1179.79</v>
      </c>
      <c r="M7" s="146" t="s">
        <v>21</v>
      </c>
      <c r="N7" s="146" t="s">
        <v>21</v>
      </c>
      <c r="O7" s="146" t="s">
        <v>21</v>
      </c>
      <c r="P7" s="147">
        <v>0</v>
      </c>
      <c r="Q7" s="147">
        <v>1179.79</v>
      </c>
      <c r="R7" s="147">
        <v>3449.34</v>
      </c>
    </row>
    <row r="8" spans="1:18" x14ac:dyDescent="0.25">
      <c r="A8" s="146" t="s">
        <v>22</v>
      </c>
      <c r="B8" s="150" t="s">
        <v>292</v>
      </c>
      <c r="C8" s="146">
        <v>4</v>
      </c>
      <c r="D8" s="146">
        <v>7</v>
      </c>
      <c r="E8" s="146" t="s">
        <v>534</v>
      </c>
      <c r="F8" s="146">
        <v>59</v>
      </c>
      <c r="G8" s="147">
        <v>1005.61</v>
      </c>
      <c r="H8" s="147">
        <v>1186.6199999999999</v>
      </c>
      <c r="I8" s="147">
        <v>4457.54</v>
      </c>
      <c r="J8" s="147">
        <v>667.47</v>
      </c>
      <c r="K8" s="147">
        <v>6311.63</v>
      </c>
      <c r="L8" s="147">
        <v>2966.55</v>
      </c>
      <c r="M8" s="146" t="s">
        <v>21</v>
      </c>
      <c r="N8" s="146" t="s">
        <v>21</v>
      </c>
      <c r="O8" s="146" t="s">
        <v>21</v>
      </c>
      <c r="P8" s="147">
        <v>0</v>
      </c>
      <c r="Q8" s="147">
        <v>2966.55</v>
      </c>
      <c r="R8" s="147">
        <v>9278.18</v>
      </c>
    </row>
    <row r="9" spans="1:18" x14ac:dyDescent="0.25">
      <c r="A9" s="146" t="s">
        <v>23</v>
      </c>
      <c r="B9" s="150" t="s">
        <v>293</v>
      </c>
      <c r="C9" s="146">
        <v>4</v>
      </c>
      <c r="D9" s="146">
        <v>7</v>
      </c>
      <c r="E9" s="146" t="s">
        <v>534</v>
      </c>
      <c r="F9" s="146">
        <v>59</v>
      </c>
      <c r="G9" s="147">
        <v>525.63</v>
      </c>
      <c r="H9" s="147">
        <v>620.24</v>
      </c>
      <c r="I9" s="147">
        <v>2329.9499999999998</v>
      </c>
      <c r="J9" s="147">
        <v>348.89</v>
      </c>
      <c r="K9" s="147">
        <v>3299.08</v>
      </c>
      <c r="L9" s="147">
        <v>1550.61</v>
      </c>
      <c r="M9" s="146" t="s">
        <v>21</v>
      </c>
      <c r="N9" s="146" t="s">
        <v>21</v>
      </c>
      <c r="O9" s="146" t="s">
        <v>21</v>
      </c>
      <c r="P9" s="147">
        <v>0</v>
      </c>
      <c r="Q9" s="147">
        <v>1550.61</v>
      </c>
      <c r="R9" s="147">
        <v>4849.6899999999996</v>
      </c>
    </row>
    <row r="10" spans="1:18" x14ac:dyDescent="0.25">
      <c r="A10" s="146" t="s">
        <v>294</v>
      </c>
      <c r="B10" s="150" t="s">
        <v>295</v>
      </c>
      <c r="C10" s="146">
        <v>4</v>
      </c>
      <c r="D10" s="146">
        <v>7</v>
      </c>
      <c r="E10" s="146" t="s">
        <v>534</v>
      </c>
      <c r="F10" s="146">
        <v>59</v>
      </c>
      <c r="G10" s="147">
        <v>357.16</v>
      </c>
      <c r="H10" s="147">
        <v>421.45</v>
      </c>
      <c r="I10" s="147">
        <v>1340.42</v>
      </c>
      <c r="J10" s="147">
        <v>237.06</v>
      </c>
      <c r="K10" s="147">
        <v>1998.93</v>
      </c>
      <c r="L10" s="147">
        <v>1053.6199999999999</v>
      </c>
      <c r="M10" s="146" t="s">
        <v>21</v>
      </c>
      <c r="N10" s="146" t="s">
        <v>21</v>
      </c>
      <c r="O10" s="146" t="s">
        <v>21</v>
      </c>
      <c r="P10" s="147">
        <v>0</v>
      </c>
      <c r="Q10" s="147">
        <v>1053.6199999999999</v>
      </c>
      <c r="R10" s="147">
        <v>3052.55</v>
      </c>
    </row>
    <row r="11" spans="1:18" x14ac:dyDescent="0.25">
      <c r="A11" s="146" t="s">
        <v>296</v>
      </c>
      <c r="B11" s="150" t="s">
        <v>297</v>
      </c>
      <c r="C11" s="146">
        <v>4</v>
      </c>
      <c r="D11" s="146">
        <v>7</v>
      </c>
      <c r="E11" s="146" t="s">
        <v>534</v>
      </c>
      <c r="F11" s="146">
        <v>59</v>
      </c>
      <c r="G11" s="147">
        <v>736.15</v>
      </c>
      <c r="H11" s="147">
        <v>868.66</v>
      </c>
      <c r="I11" s="147">
        <v>3263.11</v>
      </c>
      <c r="J11" s="147">
        <v>488.62</v>
      </c>
      <c r="K11" s="147">
        <v>4620.3900000000003</v>
      </c>
      <c r="L11" s="147">
        <v>2171.64</v>
      </c>
      <c r="M11" s="146" t="s">
        <v>21</v>
      </c>
      <c r="N11" s="146" t="s">
        <v>21</v>
      </c>
      <c r="O11" s="146" t="s">
        <v>21</v>
      </c>
      <c r="P11" s="147">
        <v>0</v>
      </c>
      <c r="Q11" s="147">
        <v>2171.64</v>
      </c>
      <c r="R11" s="147">
        <v>6792.03</v>
      </c>
    </row>
    <row r="12" spans="1:18" x14ac:dyDescent="0.25">
      <c r="A12" s="146" t="s">
        <v>24</v>
      </c>
      <c r="B12" s="150" t="s">
        <v>298</v>
      </c>
      <c r="C12" s="146">
        <v>4</v>
      </c>
      <c r="D12" s="146">
        <v>7</v>
      </c>
      <c r="E12" s="146" t="s">
        <v>534</v>
      </c>
      <c r="F12" s="146">
        <v>59</v>
      </c>
      <c r="G12" s="147">
        <v>490.17</v>
      </c>
      <c r="H12" s="147">
        <v>578.4</v>
      </c>
      <c r="I12" s="147">
        <v>2172.7600000000002</v>
      </c>
      <c r="J12" s="147">
        <v>325.35000000000002</v>
      </c>
      <c r="K12" s="147">
        <v>3076.51</v>
      </c>
      <c r="L12" s="147">
        <v>1446</v>
      </c>
      <c r="M12" s="146" t="s">
        <v>21</v>
      </c>
      <c r="N12" s="146" t="s">
        <v>21</v>
      </c>
      <c r="O12" s="146" t="s">
        <v>21</v>
      </c>
      <c r="P12" s="147">
        <v>0</v>
      </c>
      <c r="Q12" s="147">
        <v>1446</v>
      </c>
      <c r="R12" s="147">
        <v>4522.51</v>
      </c>
    </row>
    <row r="13" spans="1:18" x14ac:dyDescent="0.25">
      <c r="A13" s="146" t="s">
        <v>25</v>
      </c>
      <c r="B13" s="150" t="s">
        <v>299</v>
      </c>
      <c r="C13" s="146">
        <v>4</v>
      </c>
      <c r="D13" s="146">
        <v>7</v>
      </c>
      <c r="E13" s="146" t="s">
        <v>534</v>
      </c>
      <c r="F13" s="146">
        <v>59</v>
      </c>
      <c r="G13" s="147">
        <v>1201.1199999999999</v>
      </c>
      <c r="H13" s="147">
        <v>1417.32</v>
      </c>
      <c r="I13" s="147">
        <v>5324.16</v>
      </c>
      <c r="J13" s="147">
        <v>797.24</v>
      </c>
      <c r="K13" s="147">
        <v>7538.72</v>
      </c>
      <c r="L13" s="147">
        <v>3543.3</v>
      </c>
      <c r="M13" s="146" t="s">
        <v>21</v>
      </c>
      <c r="N13" s="146" t="s">
        <v>21</v>
      </c>
      <c r="O13" s="146" t="s">
        <v>21</v>
      </c>
      <c r="P13" s="147">
        <v>0</v>
      </c>
      <c r="Q13" s="147">
        <v>3543.3</v>
      </c>
      <c r="R13" s="147">
        <v>11082.02</v>
      </c>
    </row>
    <row r="14" spans="1:18" x14ac:dyDescent="0.25">
      <c r="A14" s="146" t="s">
        <v>26</v>
      </c>
      <c r="B14" s="150" t="s">
        <v>300</v>
      </c>
      <c r="C14" s="146">
        <v>4</v>
      </c>
      <c r="D14" s="146">
        <v>7</v>
      </c>
      <c r="E14" s="146" t="s">
        <v>534</v>
      </c>
      <c r="F14" s="146">
        <v>59</v>
      </c>
      <c r="G14" s="147">
        <v>618.53</v>
      </c>
      <c r="H14" s="147">
        <v>729.87</v>
      </c>
      <c r="I14" s="147">
        <v>2741.73</v>
      </c>
      <c r="J14" s="147">
        <v>410.55</v>
      </c>
      <c r="K14" s="147">
        <v>3882.15</v>
      </c>
      <c r="L14" s="147">
        <v>1824.66</v>
      </c>
      <c r="M14" s="146" t="s">
        <v>21</v>
      </c>
      <c r="N14" s="146" t="s">
        <v>21</v>
      </c>
      <c r="O14" s="146" t="s">
        <v>21</v>
      </c>
      <c r="P14" s="147">
        <v>0</v>
      </c>
      <c r="Q14" s="147">
        <v>1824.66</v>
      </c>
      <c r="R14" s="147">
        <v>5706.81</v>
      </c>
    </row>
    <row r="15" spans="1:18" x14ac:dyDescent="0.25">
      <c r="A15" s="146" t="s">
        <v>27</v>
      </c>
      <c r="B15" s="150" t="s">
        <v>301</v>
      </c>
      <c r="C15" s="146">
        <v>1</v>
      </c>
      <c r="D15" s="146">
        <v>7</v>
      </c>
      <c r="E15" s="146" t="s">
        <v>534</v>
      </c>
      <c r="F15" s="146">
        <v>59</v>
      </c>
      <c r="G15" s="147">
        <v>330.57</v>
      </c>
      <c r="H15" s="147">
        <v>390.07</v>
      </c>
      <c r="I15" s="147">
        <v>1175.28</v>
      </c>
      <c r="J15" s="147">
        <v>219.42</v>
      </c>
      <c r="K15" s="147">
        <v>1784.77</v>
      </c>
      <c r="L15" s="147">
        <v>975.18</v>
      </c>
      <c r="M15" s="146" t="s">
        <v>21</v>
      </c>
      <c r="N15" s="146" t="s">
        <v>21</v>
      </c>
      <c r="O15" s="146" t="s">
        <v>21</v>
      </c>
      <c r="P15" s="147">
        <v>0</v>
      </c>
      <c r="Q15" s="147">
        <v>975.18</v>
      </c>
      <c r="R15" s="147">
        <v>2759.95</v>
      </c>
    </row>
    <row r="16" spans="1:18" x14ac:dyDescent="0.25">
      <c r="A16" s="146" t="s">
        <v>28</v>
      </c>
      <c r="B16" s="150" t="s">
        <v>302</v>
      </c>
      <c r="C16" s="146">
        <v>4</v>
      </c>
      <c r="D16" s="146">
        <v>7</v>
      </c>
      <c r="E16" s="146" t="s">
        <v>534</v>
      </c>
      <c r="F16" s="146">
        <v>59</v>
      </c>
      <c r="G16" s="147">
        <v>552.76</v>
      </c>
      <c r="H16" s="147">
        <v>652.26</v>
      </c>
      <c r="I16" s="147">
        <v>2450.1999999999998</v>
      </c>
      <c r="J16" s="147">
        <v>366.89</v>
      </c>
      <c r="K16" s="147">
        <v>3469.35</v>
      </c>
      <c r="L16" s="147">
        <v>1630.64</v>
      </c>
      <c r="M16" s="146" t="s">
        <v>21</v>
      </c>
      <c r="N16" s="146" t="s">
        <v>21</v>
      </c>
      <c r="O16" s="146" t="s">
        <v>21</v>
      </c>
      <c r="P16" s="147">
        <v>0</v>
      </c>
      <c r="Q16" s="147">
        <v>1630.64</v>
      </c>
      <c r="R16" s="147">
        <v>5099.99</v>
      </c>
    </row>
    <row r="17" spans="1:18" x14ac:dyDescent="0.25">
      <c r="A17" s="146" t="s">
        <v>29</v>
      </c>
      <c r="B17" s="150" t="s">
        <v>303</v>
      </c>
      <c r="C17" s="146">
        <v>4</v>
      </c>
      <c r="D17" s="146">
        <v>7</v>
      </c>
      <c r="E17" s="146" t="s">
        <v>534</v>
      </c>
      <c r="F17" s="146">
        <v>59</v>
      </c>
      <c r="G17" s="147">
        <v>1471.3</v>
      </c>
      <c r="H17" s="147">
        <v>1736.13</v>
      </c>
      <c r="I17" s="147">
        <v>6521.79</v>
      </c>
      <c r="J17" s="147">
        <v>976.58</v>
      </c>
      <c r="K17" s="147">
        <v>9234.5</v>
      </c>
      <c r="L17" s="147">
        <v>4340.34</v>
      </c>
      <c r="M17" s="146" t="s">
        <v>21</v>
      </c>
      <c r="N17" s="146" t="s">
        <v>21</v>
      </c>
      <c r="O17" s="146" t="s">
        <v>21</v>
      </c>
      <c r="P17" s="147">
        <v>0</v>
      </c>
      <c r="Q17" s="147">
        <v>4340.34</v>
      </c>
      <c r="R17" s="147">
        <v>13574.84</v>
      </c>
    </row>
    <row r="18" spans="1:18" x14ac:dyDescent="0.25">
      <c r="A18" s="146" t="s">
        <v>304</v>
      </c>
      <c r="B18" s="150" t="s">
        <v>305</v>
      </c>
      <c r="C18" s="146">
        <v>4</v>
      </c>
      <c r="D18" s="146">
        <v>7</v>
      </c>
      <c r="E18" s="146" t="s">
        <v>534</v>
      </c>
      <c r="F18" s="146">
        <v>59</v>
      </c>
      <c r="G18" s="147">
        <v>1149.5899999999999</v>
      </c>
      <c r="H18" s="147">
        <v>1356.52</v>
      </c>
      <c r="I18" s="147">
        <v>5095.75</v>
      </c>
      <c r="J18" s="147">
        <v>763.04</v>
      </c>
      <c r="K18" s="147">
        <v>7215.31</v>
      </c>
      <c r="L18" s="147">
        <v>3391.29</v>
      </c>
      <c r="M18" s="146" t="s">
        <v>21</v>
      </c>
      <c r="N18" s="146" t="s">
        <v>21</v>
      </c>
      <c r="O18" s="146" t="s">
        <v>21</v>
      </c>
      <c r="P18" s="147">
        <v>0</v>
      </c>
      <c r="Q18" s="147">
        <v>3391.29</v>
      </c>
      <c r="R18" s="147">
        <v>10606.6</v>
      </c>
    </row>
    <row r="19" spans="1:18" x14ac:dyDescent="0.25">
      <c r="A19" s="146" t="s">
        <v>30</v>
      </c>
      <c r="B19" s="150" t="s">
        <v>306</v>
      </c>
      <c r="C19" s="146">
        <v>4</v>
      </c>
      <c r="D19" s="146">
        <v>7</v>
      </c>
      <c r="E19" s="146" t="s">
        <v>534</v>
      </c>
      <c r="F19" s="146">
        <v>59</v>
      </c>
      <c r="G19" s="147">
        <v>472.35</v>
      </c>
      <c r="H19" s="147">
        <v>557.37</v>
      </c>
      <c r="I19" s="147">
        <v>2093.77</v>
      </c>
      <c r="J19" s="147">
        <v>313.52</v>
      </c>
      <c r="K19" s="147">
        <v>2964.66</v>
      </c>
      <c r="L19" s="147">
        <v>1393.43</v>
      </c>
      <c r="M19" s="146" t="s">
        <v>21</v>
      </c>
      <c r="N19" s="146" t="s">
        <v>21</v>
      </c>
      <c r="O19" s="146" t="s">
        <v>21</v>
      </c>
      <c r="P19" s="147">
        <v>0</v>
      </c>
      <c r="Q19" s="147">
        <v>1393.43</v>
      </c>
      <c r="R19" s="147">
        <v>4358.09</v>
      </c>
    </row>
    <row r="20" spans="1:18" x14ac:dyDescent="0.25">
      <c r="A20" s="146" t="s">
        <v>31</v>
      </c>
      <c r="B20" s="150" t="s">
        <v>307</v>
      </c>
      <c r="C20" s="146">
        <v>4</v>
      </c>
      <c r="D20" s="146">
        <v>7</v>
      </c>
      <c r="E20" s="146" t="s">
        <v>534</v>
      </c>
      <c r="F20" s="146">
        <v>59</v>
      </c>
      <c r="G20" s="147">
        <v>460.8</v>
      </c>
      <c r="H20" s="147">
        <v>543.74</v>
      </c>
      <c r="I20" s="147">
        <v>1926.46</v>
      </c>
      <c r="J20" s="147">
        <v>305.86</v>
      </c>
      <c r="K20" s="147">
        <v>2776.06</v>
      </c>
      <c r="L20" s="147">
        <v>1359.36</v>
      </c>
      <c r="M20" s="146" t="s">
        <v>21</v>
      </c>
      <c r="N20" s="146" t="s">
        <v>21</v>
      </c>
      <c r="O20" s="146" t="s">
        <v>21</v>
      </c>
      <c r="P20" s="147">
        <v>0</v>
      </c>
      <c r="Q20" s="147">
        <v>1359.36</v>
      </c>
      <c r="R20" s="147">
        <v>4135.42</v>
      </c>
    </row>
    <row r="21" spans="1:18" x14ac:dyDescent="0.25">
      <c r="A21" s="146" t="s">
        <v>308</v>
      </c>
      <c r="B21" s="150" t="s">
        <v>309</v>
      </c>
      <c r="C21" s="146">
        <v>1</v>
      </c>
      <c r="D21" s="146">
        <v>7</v>
      </c>
      <c r="E21" s="146" t="s">
        <v>534</v>
      </c>
      <c r="F21" s="146">
        <v>59</v>
      </c>
      <c r="G21" s="147">
        <v>330.57</v>
      </c>
      <c r="H21" s="147">
        <v>390.07</v>
      </c>
      <c r="I21" s="147">
        <v>1175.28</v>
      </c>
      <c r="J21" s="147">
        <v>219.42</v>
      </c>
      <c r="K21" s="147">
        <v>1784.77</v>
      </c>
      <c r="L21" s="147">
        <v>975.18</v>
      </c>
      <c r="M21" s="146" t="s">
        <v>21</v>
      </c>
      <c r="N21" s="146" t="s">
        <v>21</v>
      </c>
      <c r="O21" s="146" t="s">
        <v>21</v>
      </c>
      <c r="P21" s="147">
        <v>0</v>
      </c>
      <c r="Q21" s="147">
        <v>975.18</v>
      </c>
      <c r="R21" s="147">
        <v>2759.95</v>
      </c>
    </row>
    <row r="22" spans="1:18" x14ac:dyDescent="0.25">
      <c r="A22" s="146" t="s">
        <v>310</v>
      </c>
      <c r="B22" s="150" t="s">
        <v>311</v>
      </c>
      <c r="C22" s="146">
        <v>1</v>
      </c>
      <c r="D22" s="146">
        <v>7</v>
      </c>
      <c r="E22" s="146" t="s">
        <v>534</v>
      </c>
      <c r="F22" s="146">
        <v>59</v>
      </c>
      <c r="G22" s="147">
        <v>330.57</v>
      </c>
      <c r="H22" s="147">
        <v>390.07</v>
      </c>
      <c r="I22" s="147">
        <v>1175.28</v>
      </c>
      <c r="J22" s="147">
        <v>219.42</v>
      </c>
      <c r="K22" s="147">
        <v>1784.77</v>
      </c>
      <c r="L22" s="147">
        <v>975.18</v>
      </c>
      <c r="M22" s="146" t="s">
        <v>21</v>
      </c>
      <c r="N22" s="146" t="s">
        <v>21</v>
      </c>
      <c r="O22" s="146" t="s">
        <v>21</v>
      </c>
      <c r="P22" s="147">
        <v>0</v>
      </c>
      <c r="Q22" s="147">
        <v>975.18</v>
      </c>
      <c r="R22" s="147">
        <v>2759.95</v>
      </c>
    </row>
    <row r="23" spans="1:18" x14ac:dyDescent="0.25">
      <c r="A23" s="146" t="s">
        <v>32</v>
      </c>
      <c r="B23" s="150" t="s">
        <v>312</v>
      </c>
      <c r="C23" s="146">
        <v>4</v>
      </c>
      <c r="D23" s="146">
        <v>7</v>
      </c>
      <c r="E23" s="146" t="s">
        <v>534</v>
      </c>
      <c r="F23" s="146">
        <v>59</v>
      </c>
      <c r="G23" s="147">
        <v>645.21</v>
      </c>
      <c r="H23" s="147">
        <v>761.35</v>
      </c>
      <c r="I23" s="147">
        <v>2860</v>
      </c>
      <c r="J23" s="147">
        <v>428.26</v>
      </c>
      <c r="K23" s="147">
        <v>4049.61</v>
      </c>
      <c r="L23" s="147">
        <v>1903.37</v>
      </c>
      <c r="M23" s="146" t="s">
        <v>21</v>
      </c>
      <c r="N23" s="146" t="s">
        <v>21</v>
      </c>
      <c r="O23" s="146" t="s">
        <v>21</v>
      </c>
      <c r="P23" s="147">
        <v>0</v>
      </c>
      <c r="Q23" s="147">
        <v>1903.37</v>
      </c>
      <c r="R23" s="147">
        <v>5952.98</v>
      </c>
    </row>
    <row r="24" spans="1:18" x14ac:dyDescent="0.25">
      <c r="A24" s="146" t="s">
        <v>33</v>
      </c>
      <c r="B24" s="150" t="s">
        <v>313</v>
      </c>
      <c r="C24" s="146">
        <v>4</v>
      </c>
      <c r="D24" s="146">
        <v>7</v>
      </c>
      <c r="E24" s="146" t="s">
        <v>534</v>
      </c>
      <c r="F24" s="146">
        <v>59</v>
      </c>
      <c r="G24" s="147">
        <v>2735.49</v>
      </c>
      <c r="H24" s="147">
        <v>3227.88</v>
      </c>
      <c r="I24" s="147">
        <v>12125.53</v>
      </c>
      <c r="J24" s="147">
        <v>1815.68</v>
      </c>
      <c r="K24" s="147">
        <v>17169.09</v>
      </c>
      <c r="L24" s="147">
        <v>8069.7</v>
      </c>
      <c r="M24" s="146" t="s">
        <v>21</v>
      </c>
      <c r="N24" s="146" t="s">
        <v>21</v>
      </c>
      <c r="O24" s="146" t="s">
        <v>21</v>
      </c>
      <c r="P24" s="147">
        <v>0</v>
      </c>
      <c r="Q24" s="147">
        <v>8069.7</v>
      </c>
      <c r="R24" s="147">
        <v>25238.79</v>
      </c>
    </row>
    <row r="25" spans="1:18" x14ac:dyDescent="0.25">
      <c r="A25" s="146" t="s">
        <v>34</v>
      </c>
      <c r="B25" s="150" t="s">
        <v>314</v>
      </c>
      <c r="C25" s="146">
        <v>4</v>
      </c>
      <c r="D25" s="146">
        <v>7</v>
      </c>
      <c r="E25" s="146" t="s">
        <v>534</v>
      </c>
      <c r="F25" s="146">
        <v>59</v>
      </c>
      <c r="G25" s="147">
        <v>655.49</v>
      </c>
      <c r="H25" s="147">
        <v>773.48</v>
      </c>
      <c r="I25" s="147">
        <v>2905.57</v>
      </c>
      <c r="J25" s="147">
        <v>435.08</v>
      </c>
      <c r="K25" s="147">
        <v>4114.13</v>
      </c>
      <c r="L25" s="147">
        <v>1933.7</v>
      </c>
      <c r="M25" s="146" t="s">
        <v>21</v>
      </c>
      <c r="N25" s="146" t="s">
        <v>21</v>
      </c>
      <c r="O25" s="146" t="s">
        <v>21</v>
      </c>
      <c r="P25" s="147">
        <v>0</v>
      </c>
      <c r="Q25" s="147">
        <v>1933.7</v>
      </c>
      <c r="R25" s="147">
        <v>6047.83</v>
      </c>
    </row>
    <row r="26" spans="1:18" x14ac:dyDescent="0.25">
      <c r="A26" s="146" t="s">
        <v>35</v>
      </c>
      <c r="B26" s="150" t="s">
        <v>315</v>
      </c>
      <c r="C26" s="146">
        <v>4</v>
      </c>
      <c r="D26" s="146">
        <v>7</v>
      </c>
      <c r="E26" s="146" t="s">
        <v>534</v>
      </c>
      <c r="F26" s="146">
        <v>59</v>
      </c>
      <c r="G26" s="147">
        <v>1035.8800000000001</v>
      </c>
      <c r="H26" s="147">
        <v>1222.3399999999999</v>
      </c>
      <c r="I26" s="147">
        <v>4591.72</v>
      </c>
      <c r="J26" s="147">
        <v>687.57</v>
      </c>
      <c r="K26" s="147">
        <v>6501.63</v>
      </c>
      <c r="L26" s="147">
        <v>3055.85</v>
      </c>
      <c r="M26" s="146" t="s">
        <v>21</v>
      </c>
      <c r="N26" s="146" t="s">
        <v>21</v>
      </c>
      <c r="O26" s="146" t="s">
        <v>21</v>
      </c>
      <c r="P26" s="147">
        <v>0</v>
      </c>
      <c r="Q26" s="147">
        <v>3055.85</v>
      </c>
      <c r="R26" s="147">
        <v>9557.48</v>
      </c>
    </row>
    <row r="27" spans="1:18" x14ac:dyDescent="0.25">
      <c r="A27" s="146" t="s">
        <v>36</v>
      </c>
      <c r="B27" s="150" t="s">
        <v>316</v>
      </c>
      <c r="C27" s="146">
        <v>4</v>
      </c>
      <c r="D27" s="146">
        <v>7</v>
      </c>
      <c r="E27" s="146" t="s">
        <v>534</v>
      </c>
      <c r="F27" s="146">
        <v>59</v>
      </c>
      <c r="G27" s="147">
        <v>560.08000000000004</v>
      </c>
      <c r="H27" s="147">
        <v>660.89</v>
      </c>
      <c r="I27" s="147">
        <v>2482.65</v>
      </c>
      <c r="J27" s="147">
        <v>371.75</v>
      </c>
      <c r="K27" s="147">
        <v>3515.29</v>
      </c>
      <c r="L27" s="147">
        <v>1652.24</v>
      </c>
      <c r="M27" s="146" t="s">
        <v>21</v>
      </c>
      <c r="N27" s="146" t="s">
        <v>21</v>
      </c>
      <c r="O27" s="146" t="s">
        <v>21</v>
      </c>
      <c r="P27" s="147">
        <v>0</v>
      </c>
      <c r="Q27" s="147">
        <v>1652.24</v>
      </c>
      <c r="R27" s="147">
        <v>5167.53</v>
      </c>
    </row>
    <row r="28" spans="1:18" x14ac:dyDescent="0.25">
      <c r="A28" s="146" t="s">
        <v>37</v>
      </c>
      <c r="B28" s="150" t="s">
        <v>317</v>
      </c>
      <c r="C28" s="146">
        <v>4</v>
      </c>
      <c r="D28" s="146">
        <v>9</v>
      </c>
      <c r="E28" s="146" t="s">
        <v>21</v>
      </c>
      <c r="F28" s="146">
        <v>59</v>
      </c>
      <c r="G28" s="147">
        <v>439.65</v>
      </c>
      <c r="H28" s="147">
        <v>518.79</v>
      </c>
      <c r="I28" s="147">
        <v>1715.37</v>
      </c>
      <c r="J28" s="147">
        <v>291.82</v>
      </c>
      <c r="K28" s="147">
        <v>2525.98</v>
      </c>
      <c r="L28" s="147">
        <v>1296.97</v>
      </c>
      <c r="M28" s="146" t="s">
        <v>21</v>
      </c>
      <c r="N28" s="146" t="s">
        <v>21</v>
      </c>
      <c r="O28" s="146" t="s">
        <v>21</v>
      </c>
      <c r="P28" s="147">
        <v>0</v>
      </c>
      <c r="Q28" s="147">
        <v>1296.97</v>
      </c>
      <c r="R28" s="147">
        <v>3822.95</v>
      </c>
    </row>
    <row r="29" spans="1:18" x14ac:dyDescent="0.25">
      <c r="A29" s="146" t="s">
        <v>38</v>
      </c>
      <c r="B29" s="150" t="s">
        <v>318</v>
      </c>
      <c r="C29" s="146">
        <v>1</v>
      </c>
      <c r="D29" s="146">
        <v>7</v>
      </c>
      <c r="E29" s="146" t="s">
        <v>534</v>
      </c>
      <c r="F29" s="146">
        <v>59</v>
      </c>
      <c r="G29" s="147">
        <v>330.57</v>
      </c>
      <c r="H29" s="147">
        <v>390.07</v>
      </c>
      <c r="I29" s="147">
        <v>1175.28</v>
      </c>
      <c r="J29" s="147">
        <v>219.42</v>
      </c>
      <c r="K29" s="147">
        <v>1784.77</v>
      </c>
      <c r="L29" s="147">
        <v>975.18</v>
      </c>
      <c r="M29" s="146" t="s">
        <v>21</v>
      </c>
      <c r="N29" s="146" t="s">
        <v>21</v>
      </c>
      <c r="O29" s="146" t="s">
        <v>21</v>
      </c>
      <c r="P29" s="147">
        <v>0</v>
      </c>
      <c r="Q29" s="147">
        <v>975.18</v>
      </c>
      <c r="R29" s="147">
        <v>2759.95</v>
      </c>
    </row>
    <row r="30" spans="1:18" x14ac:dyDescent="0.25">
      <c r="A30" s="146" t="s">
        <v>39</v>
      </c>
      <c r="B30" s="150" t="s">
        <v>319</v>
      </c>
      <c r="C30" s="146">
        <v>1</v>
      </c>
      <c r="D30" s="146">
        <v>7</v>
      </c>
      <c r="E30" s="146" t="s">
        <v>534</v>
      </c>
      <c r="F30" s="146">
        <v>59</v>
      </c>
      <c r="G30" s="147">
        <v>330.57</v>
      </c>
      <c r="H30" s="147">
        <v>390.07</v>
      </c>
      <c r="I30" s="147">
        <v>1175.28</v>
      </c>
      <c r="J30" s="147">
        <v>219.42</v>
      </c>
      <c r="K30" s="147">
        <v>1784.77</v>
      </c>
      <c r="L30" s="147">
        <v>975.18</v>
      </c>
      <c r="M30" s="146" t="s">
        <v>21</v>
      </c>
      <c r="N30" s="146" t="s">
        <v>21</v>
      </c>
      <c r="O30" s="146" t="s">
        <v>21</v>
      </c>
      <c r="P30" s="147">
        <v>0</v>
      </c>
      <c r="Q30" s="147">
        <v>975.18</v>
      </c>
      <c r="R30" s="147">
        <v>2759.95</v>
      </c>
    </row>
    <row r="31" spans="1:18" x14ac:dyDescent="0.25">
      <c r="A31" s="146" t="s">
        <v>40</v>
      </c>
      <c r="B31" s="150" t="s">
        <v>320</v>
      </c>
      <c r="C31" s="146">
        <v>4</v>
      </c>
      <c r="D31" s="146">
        <v>7</v>
      </c>
      <c r="E31" s="146" t="s">
        <v>534</v>
      </c>
      <c r="F31" s="146">
        <v>59</v>
      </c>
      <c r="G31" s="147">
        <v>857.88</v>
      </c>
      <c r="H31" s="147">
        <v>1012.3</v>
      </c>
      <c r="I31" s="147">
        <v>3802.7</v>
      </c>
      <c r="J31" s="147">
        <v>569.41999999999996</v>
      </c>
      <c r="K31" s="147">
        <v>5384.42</v>
      </c>
      <c r="L31" s="147">
        <v>2530.75</v>
      </c>
      <c r="M31" s="146" t="s">
        <v>21</v>
      </c>
      <c r="N31" s="146" t="s">
        <v>21</v>
      </c>
      <c r="O31" s="146" t="s">
        <v>21</v>
      </c>
      <c r="P31" s="147">
        <v>0</v>
      </c>
      <c r="Q31" s="147">
        <v>2530.75</v>
      </c>
      <c r="R31" s="147">
        <v>7915.17</v>
      </c>
    </row>
    <row r="32" spans="1:18" x14ac:dyDescent="0.25">
      <c r="A32" s="146" t="s">
        <v>41</v>
      </c>
      <c r="B32" s="150" t="s">
        <v>321</v>
      </c>
      <c r="C32" s="146">
        <v>1</v>
      </c>
      <c r="D32" s="146">
        <v>7</v>
      </c>
      <c r="E32" s="146" t="s">
        <v>534</v>
      </c>
      <c r="F32" s="146">
        <v>59</v>
      </c>
      <c r="G32" s="147">
        <v>330.57</v>
      </c>
      <c r="H32" s="147">
        <v>390.07</v>
      </c>
      <c r="I32" s="147">
        <v>1175.28</v>
      </c>
      <c r="J32" s="147">
        <v>219.42</v>
      </c>
      <c r="K32" s="147">
        <v>1784.77</v>
      </c>
      <c r="L32" s="147">
        <v>975.18</v>
      </c>
      <c r="M32" s="146" t="s">
        <v>21</v>
      </c>
      <c r="N32" s="146" t="s">
        <v>21</v>
      </c>
      <c r="O32" s="146" t="s">
        <v>21</v>
      </c>
      <c r="P32" s="147">
        <v>0</v>
      </c>
      <c r="Q32" s="147">
        <v>975.18</v>
      </c>
      <c r="R32" s="147">
        <v>2759.95</v>
      </c>
    </row>
    <row r="33" spans="1:18" x14ac:dyDescent="0.25">
      <c r="A33" s="146" t="s">
        <v>42</v>
      </c>
      <c r="B33" s="150" t="s">
        <v>322</v>
      </c>
      <c r="C33" s="146">
        <v>4</v>
      </c>
      <c r="D33" s="146">
        <v>9</v>
      </c>
      <c r="E33" s="146" t="s">
        <v>21</v>
      </c>
      <c r="F33" s="146">
        <v>59</v>
      </c>
      <c r="G33" s="147">
        <v>359.06</v>
      </c>
      <c r="H33" s="147">
        <v>423.69</v>
      </c>
      <c r="I33" s="147">
        <v>1347.54</v>
      </c>
      <c r="J33" s="147">
        <v>238.33</v>
      </c>
      <c r="K33" s="147">
        <v>2009.56</v>
      </c>
      <c r="L33" s="147">
        <v>1059.23</v>
      </c>
      <c r="M33" s="146" t="s">
        <v>21</v>
      </c>
      <c r="N33" s="146" t="s">
        <v>21</v>
      </c>
      <c r="O33" s="146" t="s">
        <v>21</v>
      </c>
      <c r="P33" s="147">
        <v>0</v>
      </c>
      <c r="Q33" s="147">
        <v>1059.23</v>
      </c>
      <c r="R33" s="147">
        <v>3068.79</v>
      </c>
    </row>
    <row r="34" spans="1:18" x14ac:dyDescent="0.25">
      <c r="A34" s="146" t="s">
        <v>43</v>
      </c>
      <c r="B34" s="150" t="s">
        <v>323</v>
      </c>
      <c r="C34" s="146">
        <v>4</v>
      </c>
      <c r="D34" s="146">
        <v>7</v>
      </c>
      <c r="E34" s="146" t="s">
        <v>534</v>
      </c>
      <c r="F34" s="146">
        <v>59</v>
      </c>
      <c r="G34" s="147">
        <v>465.43</v>
      </c>
      <c r="H34" s="147">
        <v>549.21</v>
      </c>
      <c r="I34" s="147">
        <v>1945.81</v>
      </c>
      <c r="J34" s="147">
        <v>308.93</v>
      </c>
      <c r="K34" s="147">
        <v>2803.95</v>
      </c>
      <c r="L34" s="147">
        <v>1373.02</v>
      </c>
      <c r="M34" s="146" t="s">
        <v>21</v>
      </c>
      <c r="N34" s="146" t="s">
        <v>21</v>
      </c>
      <c r="O34" s="146" t="s">
        <v>21</v>
      </c>
      <c r="P34" s="147">
        <v>0</v>
      </c>
      <c r="Q34" s="147">
        <v>1373.02</v>
      </c>
      <c r="R34" s="147">
        <v>4176.97</v>
      </c>
    </row>
    <row r="35" spans="1:18" x14ac:dyDescent="0.25">
      <c r="A35" s="146" t="s">
        <v>44</v>
      </c>
      <c r="B35" s="150" t="s">
        <v>324</v>
      </c>
      <c r="C35" s="146">
        <v>4</v>
      </c>
      <c r="D35" s="146">
        <v>9</v>
      </c>
      <c r="E35" s="146" t="s">
        <v>21</v>
      </c>
      <c r="F35" s="146">
        <v>59</v>
      </c>
      <c r="G35" s="147">
        <v>514.09</v>
      </c>
      <c r="H35" s="147">
        <v>606.63</v>
      </c>
      <c r="I35" s="147">
        <v>2278.79</v>
      </c>
      <c r="J35" s="147">
        <v>341.23</v>
      </c>
      <c r="K35" s="147">
        <v>3226.65</v>
      </c>
      <c r="L35" s="147">
        <v>1516.57</v>
      </c>
      <c r="M35" s="146" t="s">
        <v>21</v>
      </c>
      <c r="N35" s="146" t="s">
        <v>21</v>
      </c>
      <c r="O35" s="146" t="s">
        <v>21</v>
      </c>
      <c r="P35" s="147">
        <v>0</v>
      </c>
      <c r="Q35" s="147">
        <v>1516.57</v>
      </c>
      <c r="R35" s="147">
        <v>4743.22</v>
      </c>
    </row>
    <row r="36" spans="1:18" x14ac:dyDescent="0.25">
      <c r="A36" s="146" t="s">
        <v>45</v>
      </c>
      <c r="B36" s="150" t="s">
        <v>325</v>
      </c>
      <c r="C36" s="146">
        <v>4</v>
      </c>
      <c r="D36" s="146">
        <v>7</v>
      </c>
      <c r="E36" s="146" t="s">
        <v>534</v>
      </c>
      <c r="F36" s="146">
        <v>59</v>
      </c>
      <c r="G36" s="147">
        <v>2200.5100000000002</v>
      </c>
      <c r="H36" s="147">
        <v>2596.6</v>
      </c>
      <c r="I36" s="147">
        <v>9754.1299999999992</v>
      </c>
      <c r="J36" s="147">
        <v>1460.59</v>
      </c>
      <c r="K36" s="147">
        <v>13811.32</v>
      </c>
      <c r="L36" s="147">
        <v>6491.5</v>
      </c>
      <c r="M36" s="146" t="s">
        <v>21</v>
      </c>
      <c r="N36" s="146" t="s">
        <v>21</v>
      </c>
      <c r="O36" s="146" t="s">
        <v>21</v>
      </c>
      <c r="P36" s="147">
        <v>0</v>
      </c>
      <c r="Q36" s="147">
        <v>6491.5</v>
      </c>
      <c r="R36" s="147">
        <v>20302.82</v>
      </c>
    </row>
    <row r="37" spans="1:18" x14ac:dyDescent="0.25">
      <c r="A37" s="146" t="s">
        <v>46</v>
      </c>
      <c r="B37" s="150" t="s">
        <v>326</v>
      </c>
      <c r="C37" s="146">
        <v>4</v>
      </c>
      <c r="D37" s="146">
        <v>7</v>
      </c>
      <c r="E37" s="146" t="s">
        <v>534</v>
      </c>
      <c r="F37" s="146">
        <v>59</v>
      </c>
      <c r="G37" s="147">
        <v>2503.3000000000002</v>
      </c>
      <c r="H37" s="147">
        <v>2953.89</v>
      </c>
      <c r="I37" s="147">
        <v>11096.3</v>
      </c>
      <c r="J37" s="147">
        <v>1661.57</v>
      </c>
      <c r="K37" s="147">
        <v>15711.76</v>
      </c>
      <c r="L37" s="147">
        <v>7384.74</v>
      </c>
      <c r="M37" s="146" t="s">
        <v>21</v>
      </c>
      <c r="N37" s="146" t="s">
        <v>21</v>
      </c>
      <c r="O37" s="146" t="s">
        <v>21</v>
      </c>
      <c r="P37" s="147">
        <v>0</v>
      </c>
      <c r="Q37" s="147">
        <v>7384.74</v>
      </c>
      <c r="R37" s="147">
        <v>23096.5</v>
      </c>
    </row>
    <row r="38" spans="1:18" x14ac:dyDescent="0.25">
      <c r="A38" s="146" t="s">
        <v>47</v>
      </c>
      <c r="B38" s="150" t="s">
        <v>327</v>
      </c>
      <c r="C38" s="146">
        <v>4</v>
      </c>
      <c r="D38" s="146">
        <v>7</v>
      </c>
      <c r="E38" s="146" t="s">
        <v>534</v>
      </c>
      <c r="F38" s="146">
        <v>59</v>
      </c>
      <c r="G38" s="147">
        <v>559.49</v>
      </c>
      <c r="H38" s="147">
        <v>660.2</v>
      </c>
      <c r="I38" s="147">
        <v>2480.04</v>
      </c>
      <c r="J38" s="147">
        <v>371.36</v>
      </c>
      <c r="K38" s="147">
        <v>3511.6</v>
      </c>
      <c r="L38" s="147">
        <v>1650.5</v>
      </c>
      <c r="M38" s="146" t="s">
        <v>21</v>
      </c>
      <c r="N38" s="146" t="s">
        <v>21</v>
      </c>
      <c r="O38" s="146" t="s">
        <v>21</v>
      </c>
      <c r="P38" s="147">
        <v>0</v>
      </c>
      <c r="Q38" s="147">
        <v>1650.5</v>
      </c>
      <c r="R38" s="147">
        <v>5162.1000000000004</v>
      </c>
    </row>
    <row r="39" spans="1:18" x14ac:dyDescent="0.25">
      <c r="A39" s="146" t="s">
        <v>48</v>
      </c>
      <c r="B39" s="150" t="s">
        <v>328</v>
      </c>
      <c r="C39" s="146">
        <v>1</v>
      </c>
      <c r="D39" s="146">
        <v>7</v>
      </c>
      <c r="E39" s="146" t="s">
        <v>534</v>
      </c>
      <c r="F39" s="146">
        <v>59</v>
      </c>
      <c r="G39" s="147">
        <v>330.57</v>
      </c>
      <c r="H39" s="147">
        <v>390.07</v>
      </c>
      <c r="I39" s="147">
        <v>1175.28</v>
      </c>
      <c r="J39" s="147">
        <v>219.42</v>
      </c>
      <c r="K39" s="147">
        <v>1784.77</v>
      </c>
      <c r="L39" s="147">
        <v>975.18</v>
      </c>
      <c r="M39" s="146" t="s">
        <v>21</v>
      </c>
      <c r="N39" s="146" t="s">
        <v>21</v>
      </c>
      <c r="O39" s="146" t="s">
        <v>21</v>
      </c>
      <c r="P39" s="147">
        <v>0</v>
      </c>
      <c r="Q39" s="147">
        <v>975.18</v>
      </c>
      <c r="R39" s="147">
        <v>2759.95</v>
      </c>
    </row>
    <row r="40" spans="1:18" x14ac:dyDescent="0.25">
      <c r="A40" s="146" t="s">
        <v>49</v>
      </c>
      <c r="B40" s="150" t="s">
        <v>329</v>
      </c>
      <c r="C40" s="146">
        <v>4</v>
      </c>
      <c r="D40" s="146">
        <v>7</v>
      </c>
      <c r="E40" s="146" t="s">
        <v>534</v>
      </c>
      <c r="F40" s="146">
        <v>59</v>
      </c>
      <c r="G40" s="147">
        <v>842.65</v>
      </c>
      <c r="H40" s="147">
        <v>994.33</v>
      </c>
      <c r="I40" s="147">
        <v>3735.19</v>
      </c>
      <c r="J40" s="147">
        <v>559.30999999999995</v>
      </c>
      <c r="K40" s="147">
        <v>5288.83</v>
      </c>
      <c r="L40" s="147">
        <v>2485.8200000000002</v>
      </c>
      <c r="M40" s="146" t="s">
        <v>21</v>
      </c>
      <c r="N40" s="146" t="s">
        <v>21</v>
      </c>
      <c r="O40" s="146" t="s">
        <v>21</v>
      </c>
      <c r="P40" s="147">
        <v>0</v>
      </c>
      <c r="Q40" s="147">
        <v>2485.8200000000002</v>
      </c>
      <c r="R40" s="147">
        <v>7774.65</v>
      </c>
    </row>
    <row r="41" spans="1:18" x14ac:dyDescent="0.25">
      <c r="A41" s="146" t="s">
        <v>50</v>
      </c>
      <c r="B41" s="150" t="s">
        <v>330</v>
      </c>
      <c r="C41" s="146">
        <v>4</v>
      </c>
      <c r="D41" s="146">
        <v>7</v>
      </c>
      <c r="E41" s="146" t="s">
        <v>534</v>
      </c>
      <c r="F41" s="146">
        <v>59</v>
      </c>
      <c r="G41" s="147">
        <v>468.71</v>
      </c>
      <c r="H41" s="147">
        <v>553.08000000000004</v>
      </c>
      <c r="I41" s="147">
        <v>1959.52</v>
      </c>
      <c r="J41" s="147">
        <v>311.11</v>
      </c>
      <c r="K41" s="147">
        <v>2823.71</v>
      </c>
      <c r="L41" s="147">
        <v>1382.69</v>
      </c>
      <c r="M41" s="146" t="s">
        <v>21</v>
      </c>
      <c r="N41" s="146" t="s">
        <v>21</v>
      </c>
      <c r="O41" s="146" t="s">
        <v>21</v>
      </c>
      <c r="P41" s="147">
        <v>0</v>
      </c>
      <c r="Q41" s="147">
        <v>1382.69</v>
      </c>
      <c r="R41" s="147">
        <v>4206.3999999999996</v>
      </c>
    </row>
    <row r="42" spans="1:18" x14ac:dyDescent="0.25">
      <c r="A42" s="146" t="s">
        <v>51</v>
      </c>
      <c r="B42" s="150" t="s">
        <v>331</v>
      </c>
      <c r="C42" s="146">
        <v>4</v>
      </c>
      <c r="D42" s="146">
        <v>7</v>
      </c>
      <c r="E42" s="146" t="s">
        <v>534</v>
      </c>
      <c r="F42" s="146">
        <v>59</v>
      </c>
      <c r="G42" s="147">
        <v>631.1</v>
      </c>
      <c r="H42" s="147">
        <v>744.7</v>
      </c>
      <c r="I42" s="147">
        <v>2797.46</v>
      </c>
      <c r="J42" s="147">
        <v>418.89</v>
      </c>
      <c r="K42" s="147">
        <v>3961.05</v>
      </c>
      <c r="L42" s="147">
        <v>1861.75</v>
      </c>
      <c r="M42" s="146" t="s">
        <v>21</v>
      </c>
      <c r="N42" s="146" t="s">
        <v>21</v>
      </c>
      <c r="O42" s="146" t="s">
        <v>21</v>
      </c>
      <c r="P42" s="147">
        <v>0</v>
      </c>
      <c r="Q42" s="147">
        <v>1861.75</v>
      </c>
      <c r="R42" s="147">
        <v>5822.8</v>
      </c>
    </row>
    <row r="43" spans="1:18" x14ac:dyDescent="0.25">
      <c r="A43" s="146" t="s">
        <v>52</v>
      </c>
      <c r="B43" s="150" t="s">
        <v>332</v>
      </c>
      <c r="C43" s="146">
        <v>4</v>
      </c>
      <c r="D43" s="146">
        <v>7</v>
      </c>
      <c r="E43" s="146" t="s">
        <v>534</v>
      </c>
      <c r="F43" s="146">
        <v>59</v>
      </c>
      <c r="G43" s="147">
        <v>431.83</v>
      </c>
      <c r="H43" s="147">
        <v>509.56</v>
      </c>
      <c r="I43" s="147">
        <v>1684.85</v>
      </c>
      <c r="J43" s="147">
        <v>286.63</v>
      </c>
      <c r="K43" s="147">
        <v>2481.04</v>
      </c>
      <c r="L43" s="147">
        <v>1273.9000000000001</v>
      </c>
      <c r="M43" s="146" t="s">
        <v>21</v>
      </c>
      <c r="N43" s="146" t="s">
        <v>21</v>
      </c>
      <c r="O43" s="146" t="s">
        <v>21</v>
      </c>
      <c r="P43" s="147">
        <v>0</v>
      </c>
      <c r="Q43" s="147">
        <v>1273.9000000000001</v>
      </c>
      <c r="R43" s="147">
        <v>3754.94</v>
      </c>
    </row>
    <row r="44" spans="1:18" x14ac:dyDescent="0.25">
      <c r="A44" s="146" t="s">
        <v>53</v>
      </c>
      <c r="B44" s="150" t="s">
        <v>333</v>
      </c>
      <c r="C44" s="146">
        <v>4</v>
      </c>
      <c r="D44" s="146">
        <v>7</v>
      </c>
      <c r="E44" s="146" t="s">
        <v>534</v>
      </c>
      <c r="F44" s="146">
        <v>59</v>
      </c>
      <c r="G44" s="147">
        <v>809.93</v>
      </c>
      <c r="H44" s="147">
        <v>955.72</v>
      </c>
      <c r="I44" s="147">
        <v>3590.15</v>
      </c>
      <c r="J44" s="147">
        <v>537.59</v>
      </c>
      <c r="K44" s="147">
        <v>5083.46</v>
      </c>
      <c r="L44" s="147">
        <v>2389.29</v>
      </c>
      <c r="M44" s="146" t="s">
        <v>21</v>
      </c>
      <c r="N44" s="146" t="s">
        <v>21</v>
      </c>
      <c r="O44" s="146" t="s">
        <v>21</v>
      </c>
      <c r="P44" s="147">
        <v>0</v>
      </c>
      <c r="Q44" s="147">
        <v>2389.29</v>
      </c>
      <c r="R44" s="147">
        <v>7472.75</v>
      </c>
    </row>
    <row r="45" spans="1:18" x14ac:dyDescent="0.25">
      <c r="A45" s="146" t="s">
        <v>54</v>
      </c>
      <c r="B45" s="150" t="s">
        <v>334</v>
      </c>
      <c r="C45" s="146">
        <v>4</v>
      </c>
      <c r="D45" s="146">
        <v>7</v>
      </c>
      <c r="E45" s="146" t="s">
        <v>534</v>
      </c>
      <c r="F45" s="146">
        <v>59</v>
      </c>
      <c r="G45" s="147">
        <v>430.52</v>
      </c>
      <c r="H45" s="147">
        <v>508.01</v>
      </c>
      <c r="I45" s="147">
        <v>1679.75</v>
      </c>
      <c r="J45" s="147">
        <v>285.76</v>
      </c>
      <c r="K45" s="147">
        <v>2473.52</v>
      </c>
      <c r="L45" s="147">
        <v>1270.03</v>
      </c>
      <c r="M45" s="146" t="s">
        <v>21</v>
      </c>
      <c r="N45" s="146" t="s">
        <v>21</v>
      </c>
      <c r="O45" s="146" t="s">
        <v>21</v>
      </c>
      <c r="P45" s="147">
        <v>0</v>
      </c>
      <c r="Q45" s="147">
        <v>1270.03</v>
      </c>
      <c r="R45" s="147">
        <v>3743.55</v>
      </c>
    </row>
    <row r="46" spans="1:18" x14ac:dyDescent="0.25">
      <c r="A46" s="146" t="s">
        <v>55</v>
      </c>
      <c r="B46" s="150" t="s">
        <v>335</v>
      </c>
      <c r="C46" s="146">
        <v>4</v>
      </c>
      <c r="D46" s="146">
        <v>9</v>
      </c>
      <c r="E46" s="146" t="s">
        <v>21</v>
      </c>
      <c r="F46" s="146">
        <v>59</v>
      </c>
      <c r="G46" s="147">
        <v>425.62</v>
      </c>
      <c r="H46" s="147">
        <v>502.23</v>
      </c>
      <c r="I46" s="147">
        <v>1660.63</v>
      </c>
      <c r="J46" s="147">
        <v>282.51</v>
      </c>
      <c r="K46" s="147">
        <v>2445.37</v>
      </c>
      <c r="L46" s="147">
        <v>1255.58</v>
      </c>
      <c r="M46" s="146" t="s">
        <v>21</v>
      </c>
      <c r="N46" s="146" t="s">
        <v>21</v>
      </c>
      <c r="O46" s="146" t="s">
        <v>21</v>
      </c>
      <c r="P46" s="147">
        <v>0</v>
      </c>
      <c r="Q46" s="147">
        <v>1255.58</v>
      </c>
      <c r="R46" s="147">
        <v>3700.95</v>
      </c>
    </row>
    <row r="47" spans="1:18" x14ac:dyDescent="0.25">
      <c r="A47" s="146" t="s">
        <v>336</v>
      </c>
      <c r="B47" s="150" t="s">
        <v>337</v>
      </c>
      <c r="C47" s="146">
        <v>4</v>
      </c>
      <c r="D47" s="146">
        <v>7</v>
      </c>
      <c r="E47" s="146" t="s">
        <v>534</v>
      </c>
      <c r="F47" s="146">
        <v>59</v>
      </c>
      <c r="G47" s="147">
        <v>347.29</v>
      </c>
      <c r="H47" s="147">
        <v>409.8</v>
      </c>
      <c r="I47" s="147">
        <v>1270.8</v>
      </c>
      <c r="J47" s="147">
        <v>230.51</v>
      </c>
      <c r="K47" s="147">
        <v>1911.11</v>
      </c>
      <c r="L47" s="147">
        <v>1024.51</v>
      </c>
      <c r="M47" s="146" t="s">
        <v>21</v>
      </c>
      <c r="N47" s="146" t="s">
        <v>21</v>
      </c>
      <c r="O47" s="146" t="s">
        <v>21</v>
      </c>
      <c r="P47" s="147">
        <v>0</v>
      </c>
      <c r="Q47" s="147">
        <v>1024.51</v>
      </c>
      <c r="R47" s="147">
        <v>2935.62</v>
      </c>
    </row>
    <row r="48" spans="1:18" x14ac:dyDescent="0.25">
      <c r="A48" s="146" t="s">
        <v>56</v>
      </c>
      <c r="B48" s="150" t="s">
        <v>338</v>
      </c>
      <c r="C48" s="146">
        <v>4</v>
      </c>
      <c r="D48" s="146">
        <v>7</v>
      </c>
      <c r="E48" s="146" t="s">
        <v>534</v>
      </c>
      <c r="F48" s="146">
        <v>59</v>
      </c>
      <c r="G48" s="147">
        <v>439.27</v>
      </c>
      <c r="H48" s="147">
        <v>518.34</v>
      </c>
      <c r="I48" s="147">
        <v>1713.89</v>
      </c>
      <c r="J48" s="147">
        <v>291.57</v>
      </c>
      <c r="K48" s="147">
        <v>2523.8000000000002</v>
      </c>
      <c r="L48" s="147">
        <v>1295.8499999999999</v>
      </c>
      <c r="M48" s="146" t="s">
        <v>21</v>
      </c>
      <c r="N48" s="146" t="s">
        <v>21</v>
      </c>
      <c r="O48" s="146" t="s">
        <v>21</v>
      </c>
      <c r="P48" s="147">
        <v>0</v>
      </c>
      <c r="Q48" s="147">
        <v>1295.8499999999999</v>
      </c>
      <c r="R48" s="147">
        <v>3819.65</v>
      </c>
    </row>
    <row r="49" spans="1:18" x14ac:dyDescent="0.25">
      <c r="A49" s="146" t="s">
        <v>57</v>
      </c>
      <c r="B49" s="150" t="s">
        <v>339</v>
      </c>
      <c r="C49" s="146">
        <v>4</v>
      </c>
      <c r="D49" s="146">
        <v>7</v>
      </c>
      <c r="E49" s="146" t="s">
        <v>534</v>
      </c>
      <c r="F49" s="146">
        <v>59</v>
      </c>
      <c r="G49" s="147">
        <v>792.41</v>
      </c>
      <c r="H49" s="147">
        <v>935.04</v>
      </c>
      <c r="I49" s="147">
        <v>3512.5</v>
      </c>
      <c r="J49" s="147">
        <v>525.96</v>
      </c>
      <c r="K49" s="147">
        <v>4973.5</v>
      </c>
      <c r="L49" s="147">
        <v>2337.61</v>
      </c>
      <c r="M49" s="146" t="s">
        <v>21</v>
      </c>
      <c r="N49" s="146" t="s">
        <v>21</v>
      </c>
      <c r="O49" s="146" t="s">
        <v>21</v>
      </c>
      <c r="P49" s="147">
        <v>0</v>
      </c>
      <c r="Q49" s="147">
        <v>2337.61</v>
      </c>
      <c r="R49" s="147">
        <v>7311.11</v>
      </c>
    </row>
    <row r="50" spans="1:18" x14ac:dyDescent="0.25">
      <c r="A50" s="146" t="s">
        <v>340</v>
      </c>
      <c r="B50" s="150" t="s">
        <v>341</v>
      </c>
      <c r="C50" s="146">
        <v>4</v>
      </c>
      <c r="D50" s="146">
        <v>9</v>
      </c>
      <c r="E50" s="146" t="s">
        <v>21</v>
      </c>
      <c r="F50" s="146">
        <v>9</v>
      </c>
      <c r="G50" s="147">
        <v>411.03</v>
      </c>
      <c r="H50" s="147">
        <v>73.989999999999995</v>
      </c>
      <c r="I50" s="147">
        <v>244.63</v>
      </c>
      <c r="J50" s="147">
        <v>41.62</v>
      </c>
      <c r="K50" s="147">
        <v>360.24</v>
      </c>
      <c r="L50" s="147">
        <v>184.96</v>
      </c>
      <c r="M50" s="146" t="s">
        <v>21</v>
      </c>
      <c r="N50" s="146" t="s">
        <v>21</v>
      </c>
      <c r="O50" s="146" t="s">
        <v>21</v>
      </c>
      <c r="P50" s="147">
        <v>0</v>
      </c>
      <c r="Q50" s="147">
        <v>184.96</v>
      </c>
      <c r="R50" s="147">
        <v>545.20000000000005</v>
      </c>
    </row>
    <row r="51" spans="1:18" x14ac:dyDescent="0.25">
      <c r="A51" s="146" t="s">
        <v>340</v>
      </c>
      <c r="B51" s="150" t="s">
        <v>341</v>
      </c>
      <c r="C51" s="146">
        <v>4</v>
      </c>
      <c r="D51" s="146">
        <v>7</v>
      </c>
      <c r="E51" s="146" t="s">
        <v>535</v>
      </c>
      <c r="F51" s="146">
        <v>50</v>
      </c>
      <c r="G51" s="147">
        <v>357.16</v>
      </c>
      <c r="H51" s="147">
        <v>357.16</v>
      </c>
      <c r="I51" s="147">
        <v>1135.95</v>
      </c>
      <c r="J51" s="147">
        <v>200.9</v>
      </c>
      <c r="K51" s="147">
        <v>1694.01</v>
      </c>
      <c r="L51" s="147">
        <v>892.9</v>
      </c>
      <c r="M51" s="146" t="s">
        <v>21</v>
      </c>
      <c r="N51" s="146" t="s">
        <v>21</v>
      </c>
      <c r="O51" s="146" t="s">
        <v>21</v>
      </c>
      <c r="P51" s="147">
        <v>0</v>
      </c>
      <c r="Q51" s="147">
        <v>892.9</v>
      </c>
      <c r="R51" s="147">
        <v>2586.91</v>
      </c>
    </row>
    <row r="52" spans="1:18" x14ac:dyDescent="0.25">
      <c r="A52" s="146" t="s">
        <v>58</v>
      </c>
      <c r="B52" s="150" t="s">
        <v>342</v>
      </c>
      <c r="C52" s="146">
        <v>4</v>
      </c>
      <c r="D52" s="146">
        <v>7</v>
      </c>
      <c r="E52" s="146" t="s">
        <v>534</v>
      </c>
      <c r="F52" s="146">
        <v>59</v>
      </c>
      <c r="G52" s="147">
        <v>561.26</v>
      </c>
      <c r="H52" s="147">
        <v>662.29</v>
      </c>
      <c r="I52" s="147">
        <v>2487.88</v>
      </c>
      <c r="J52" s="147">
        <v>372.54</v>
      </c>
      <c r="K52" s="147">
        <v>3522.71</v>
      </c>
      <c r="L52" s="147">
        <v>1655.72</v>
      </c>
      <c r="M52" s="146" t="s">
        <v>21</v>
      </c>
      <c r="N52" s="146" t="s">
        <v>21</v>
      </c>
      <c r="O52" s="146" t="s">
        <v>21</v>
      </c>
      <c r="P52" s="147">
        <v>0</v>
      </c>
      <c r="Q52" s="147">
        <v>1655.72</v>
      </c>
      <c r="R52" s="147">
        <v>5178.43</v>
      </c>
    </row>
    <row r="53" spans="1:18" x14ac:dyDescent="0.25">
      <c r="A53" s="146" t="s">
        <v>59</v>
      </c>
      <c r="B53" s="150" t="s">
        <v>343</v>
      </c>
      <c r="C53" s="146">
        <v>4</v>
      </c>
      <c r="D53" s="146">
        <v>7</v>
      </c>
      <c r="E53" s="146" t="s">
        <v>534</v>
      </c>
      <c r="F53" s="146">
        <v>59</v>
      </c>
      <c r="G53" s="147">
        <v>560.66999999999996</v>
      </c>
      <c r="H53" s="147">
        <v>661.59</v>
      </c>
      <c r="I53" s="147">
        <v>2485.27</v>
      </c>
      <c r="J53" s="147">
        <v>372.14</v>
      </c>
      <c r="K53" s="147">
        <v>3519</v>
      </c>
      <c r="L53" s="147">
        <v>1653.98</v>
      </c>
      <c r="M53" s="146" t="s">
        <v>21</v>
      </c>
      <c r="N53" s="146" t="s">
        <v>21</v>
      </c>
      <c r="O53" s="146" t="s">
        <v>21</v>
      </c>
      <c r="P53" s="147">
        <v>0</v>
      </c>
      <c r="Q53" s="147">
        <v>1653.98</v>
      </c>
      <c r="R53" s="147">
        <v>5172.9799999999996</v>
      </c>
    </row>
    <row r="54" spans="1:18" x14ac:dyDescent="0.25">
      <c r="A54" s="146" t="s">
        <v>536</v>
      </c>
      <c r="B54" s="150" t="s">
        <v>537</v>
      </c>
      <c r="C54" s="146">
        <v>0</v>
      </c>
      <c r="D54" s="146">
        <v>2</v>
      </c>
      <c r="E54" s="146" t="s">
        <v>538</v>
      </c>
      <c r="F54" s="146">
        <v>0</v>
      </c>
      <c r="G54" s="147">
        <v>0</v>
      </c>
      <c r="H54" s="147">
        <v>0</v>
      </c>
      <c r="I54" s="147">
        <v>0</v>
      </c>
      <c r="J54" s="147">
        <v>0</v>
      </c>
      <c r="K54" s="147">
        <v>0</v>
      </c>
      <c r="L54" s="147">
        <v>0</v>
      </c>
      <c r="M54" s="146" t="s">
        <v>21</v>
      </c>
      <c r="N54" s="146" t="s">
        <v>21</v>
      </c>
      <c r="O54" s="146" t="s">
        <v>21</v>
      </c>
      <c r="P54" s="147">
        <v>0</v>
      </c>
      <c r="Q54" s="147">
        <v>0</v>
      </c>
      <c r="R54" s="147">
        <v>0</v>
      </c>
    </row>
    <row r="55" spans="1:18" x14ac:dyDescent="0.25">
      <c r="A55" s="146" t="s">
        <v>536</v>
      </c>
      <c r="B55" s="150" t="s">
        <v>537</v>
      </c>
      <c r="C55" s="146">
        <v>4</v>
      </c>
      <c r="D55" s="146">
        <v>7</v>
      </c>
      <c r="E55" s="146" t="s">
        <v>534</v>
      </c>
      <c r="F55" s="146">
        <v>27</v>
      </c>
      <c r="G55" s="147">
        <v>363.48</v>
      </c>
      <c r="H55" s="147">
        <v>196.28</v>
      </c>
      <c r="I55" s="147">
        <v>624.27</v>
      </c>
      <c r="J55" s="147">
        <v>110.41</v>
      </c>
      <c r="K55" s="147">
        <v>930.96</v>
      </c>
      <c r="L55" s="147">
        <v>490.7</v>
      </c>
      <c r="M55" s="146" t="s">
        <v>21</v>
      </c>
      <c r="N55" s="146" t="s">
        <v>21</v>
      </c>
      <c r="O55" s="146" t="s">
        <v>21</v>
      </c>
      <c r="P55" s="147">
        <v>0</v>
      </c>
      <c r="Q55" s="147">
        <v>490.7</v>
      </c>
      <c r="R55" s="147">
        <v>1421.66</v>
      </c>
    </row>
    <row r="56" spans="1:18" x14ac:dyDescent="0.25">
      <c r="A56" s="146" t="s">
        <v>344</v>
      </c>
      <c r="B56" s="150" t="s">
        <v>345</v>
      </c>
      <c r="C56" s="146">
        <v>4</v>
      </c>
      <c r="D56" s="146">
        <v>7</v>
      </c>
      <c r="E56" s="146" t="s">
        <v>534</v>
      </c>
      <c r="F56" s="146">
        <v>59</v>
      </c>
      <c r="G56" s="147">
        <v>347.29</v>
      </c>
      <c r="H56" s="147">
        <v>409.8</v>
      </c>
      <c r="I56" s="147">
        <v>1270.8</v>
      </c>
      <c r="J56" s="147">
        <v>230.51</v>
      </c>
      <c r="K56" s="147">
        <v>1911.11</v>
      </c>
      <c r="L56" s="147">
        <v>1024.51</v>
      </c>
      <c r="M56" s="146" t="s">
        <v>21</v>
      </c>
      <c r="N56" s="146" t="s">
        <v>21</v>
      </c>
      <c r="O56" s="146" t="s">
        <v>21</v>
      </c>
      <c r="P56" s="147">
        <v>0</v>
      </c>
      <c r="Q56" s="147">
        <v>1024.51</v>
      </c>
      <c r="R56" s="147">
        <v>2935.62</v>
      </c>
    </row>
    <row r="57" spans="1:18" x14ac:dyDescent="0.25">
      <c r="A57" s="146" t="s">
        <v>346</v>
      </c>
      <c r="B57" s="150" t="s">
        <v>347</v>
      </c>
      <c r="C57" s="146">
        <v>4</v>
      </c>
      <c r="D57" s="146">
        <v>7</v>
      </c>
      <c r="E57" s="146" t="s">
        <v>534</v>
      </c>
      <c r="F57" s="146">
        <v>59</v>
      </c>
      <c r="G57" s="147">
        <v>356.04</v>
      </c>
      <c r="H57" s="147">
        <v>420.13</v>
      </c>
      <c r="I57" s="147">
        <v>1336.22</v>
      </c>
      <c r="J57" s="147">
        <v>236.32</v>
      </c>
      <c r="K57" s="147">
        <v>1992.67</v>
      </c>
      <c r="L57" s="147">
        <v>1050.32</v>
      </c>
      <c r="M57" s="146" t="s">
        <v>21</v>
      </c>
      <c r="N57" s="146" t="s">
        <v>21</v>
      </c>
      <c r="O57" s="146" t="s">
        <v>21</v>
      </c>
      <c r="P57" s="147">
        <v>0</v>
      </c>
      <c r="Q57" s="147">
        <v>1050.32</v>
      </c>
      <c r="R57" s="147">
        <v>3042.99</v>
      </c>
    </row>
    <row r="58" spans="1:18" x14ac:dyDescent="0.25">
      <c r="A58" s="146" t="s">
        <v>60</v>
      </c>
      <c r="B58" s="150" t="s">
        <v>348</v>
      </c>
      <c r="C58" s="146">
        <v>4</v>
      </c>
      <c r="D58" s="146">
        <v>7</v>
      </c>
      <c r="E58" s="146" t="s">
        <v>534</v>
      </c>
      <c r="F58" s="146">
        <v>59</v>
      </c>
      <c r="G58" s="147">
        <v>827.36</v>
      </c>
      <c r="H58" s="147">
        <v>976.28</v>
      </c>
      <c r="I58" s="147">
        <v>3667.42</v>
      </c>
      <c r="J58" s="147">
        <v>549.16</v>
      </c>
      <c r="K58" s="147">
        <v>5192.8599999999997</v>
      </c>
      <c r="L58" s="147">
        <v>2440.71</v>
      </c>
      <c r="M58" s="146" t="s">
        <v>21</v>
      </c>
      <c r="N58" s="146" t="s">
        <v>21</v>
      </c>
      <c r="O58" s="146" t="s">
        <v>21</v>
      </c>
      <c r="P58" s="147">
        <v>0</v>
      </c>
      <c r="Q58" s="147">
        <v>2440.71</v>
      </c>
      <c r="R58" s="147">
        <v>7633.57</v>
      </c>
    </row>
    <row r="59" spans="1:18" x14ac:dyDescent="0.25">
      <c r="A59" s="146" t="s">
        <v>61</v>
      </c>
      <c r="B59" s="150" t="s">
        <v>349</v>
      </c>
      <c r="C59" s="146">
        <v>4</v>
      </c>
      <c r="D59" s="146">
        <v>9</v>
      </c>
      <c r="E59" s="146" t="s">
        <v>21</v>
      </c>
      <c r="F59" s="146">
        <v>59</v>
      </c>
      <c r="G59" s="147">
        <v>426.35</v>
      </c>
      <c r="H59" s="147">
        <v>503.09</v>
      </c>
      <c r="I59" s="147">
        <v>1663.48</v>
      </c>
      <c r="J59" s="147">
        <v>282.99</v>
      </c>
      <c r="K59" s="147">
        <v>2449.56</v>
      </c>
      <c r="L59" s="147">
        <v>1257.73</v>
      </c>
      <c r="M59" s="146" t="s">
        <v>21</v>
      </c>
      <c r="N59" s="146" t="s">
        <v>21</v>
      </c>
      <c r="O59" s="146" t="s">
        <v>21</v>
      </c>
      <c r="P59" s="147">
        <v>0</v>
      </c>
      <c r="Q59" s="147">
        <v>1257.73</v>
      </c>
      <c r="R59" s="147">
        <v>3707.29</v>
      </c>
    </row>
    <row r="60" spans="1:18" x14ac:dyDescent="0.25">
      <c r="A60" s="146" t="s">
        <v>62</v>
      </c>
      <c r="B60" s="150" t="s">
        <v>350</v>
      </c>
      <c r="C60" s="146">
        <v>4</v>
      </c>
      <c r="D60" s="146">
        <v>7</v>
      </c>
      <c r="E60" s="146" t="s">
        <v>534</v>
      </c>
      <c r="F60" s="146">
        <v>59</v>
      </c>
      <c r="G60" s="147">
        <v>561.26</v>
      </c>
      <c r="H60" s="147">
        <v>662.29</v>
      </c>
      <c r="I60" s="147">
        <v>2487.88</v>
      </c>
      <c r="J60" s="147">
        <v>372.54</v>
      </c>
      <c r="K60" s="147">
        <v>3522.71</v>
      </c>
      <c r="L60" s="147">
        <v>1655.72</v>
      </c>
      <c r="M60" s="146" t="s">
        <v>21</v>
      </c>
      <c r="N60" s="146" t="s">
        <v>21</v>
      </c>
      <c r="O60" s="146" t="s">
        <v>21</v>
      </c>
      <c r="P60" s="147">
        <v>0</v>
      </c>
      <c r="Q60" s="147">
        <v>1655.72</v>
      </c>
      <c r="R60" s="147">
        <v>5178.43</v>
      </c>
    </row>
    <row r="61" spans="1:18" x14ac:dyDescent="0.25">
      <c r="A61" s="146" t="s">
        <v>63</v>
      </c>
      <c r="B61" s="150" t="s">
        <v>351</v>
      </c>
      <c r="C61" s="146">
        <v>4</v>
      </c>
      <c r="D61" s="146">
        <v>7</v>
      </c>
      <c r="E61" s="146" t="s">
        <v>534</v>
      </c>
      <c r="F61" s="146">
        <v>59</v>
      </c>
      <c r="G61" s="147">
        <v>497.48</v>
      </c>
      <c r="H61" s="147">
        <v>587.03</v>
      </c>
      <c r="I61" s="147">
        <v>2205.17</v>
      </c>
      <c r="J61" s="147">
        <v>330.2</v>
      </c>
      <c r="K61" s="147">
        <v>3122.4</v>
      </c>
      <c r="L61" s="147">
        <v>1467.57</v>
      </c>
      <c r="M61" s="146" t="s">
        <v>21</v>
      </c>
      <c r="N61" s="146" t="s">
        <v>21</v>
      </c>
      <c r="O61" s="146" t="s">
        <v>21</v>
      </c>
      <c r="P61" s="147">
        <v>0</v>
      </c>
      <c r="Q61" s="147">
        <v>1467.57</v>
      </c>
      <c r="R61" s="147">
        <v>4589.97</v>
      </c>
    </row>
    <row r="62" spans="1:18" x14ac:dyDescent="0.25">
      <c r="A62" s="146" t="s">
        <v>64</v>
      </c>
      <c r="B62" s="150" t="s">
        <v>352</v>
      </c>
      <c r="C62" s="146">
        <v>4</v>
      </c>
      <c r="D62" s="146">
        <v>7</v>
      </c>
      <c r="E62" s="146" t="s">
        <v>534</v>
      </c>
      <c r="F62" s="146">
        <v>59</v>
      </c>
      <c r="G62" s="147">
        <v>632.26</v>
      </c>
      <c r="H62" s="147">
        <v>746.07</v>
      </c>
      <c r="I62" s="147">
        <v>2802.6</v>
      </c>
      <c r="J62" s="147">
        <v>419.66</v>
      </c>
      <c r="K62" s="147">
        <v>3968.33</v>
      </c>
      <c r="L62" s="147">
        <v>1865.17</v>
      </c>
      <c r="M62" s="146" t="s">
        <v>21</v>
      </c>
      <c r="N62" s="146" t="s">
        <v>21</v>
      </c>
      <c r="O62" s="146" t="s">
        <v>21</v>
      </c>
      <c r="P62" s="147">
        <v>0</v>
      </c>
      <c r="Q62" s="147">
        <v>1865.17</v>
      </c>
      <c r="R62" s="147">
        <v>5833.5</v>
      </c>
    </row>
    <row r="63" spans="1:18" x14ac:dyDescent="0.25">
      <c r="A63" s="146" t="s">
        <v>65</v>
      </c>
      <c r="B63" s="150" t="s">
        <v>353</v>
      </c>
      <c r="C63" s="146">
        <v>4</v>
      </c>
      <c r="D63" s="146">
        <v>9</v>
      </c>
      <c r="E63" s="146" t="s">
        <v>21</v>
      </c>
      <c r="F63" s="146">
        <v>59</v>
      </c>
      <c r="G63" s="147">
        <v>438.51</v>
      </c>
      <c r="H63" s="147">
        <v>517.44000000000005</v>
      </c>
      <c r="I63" s="147">
        <v>1710.92</v>
      </c>
      <c r="J63" s="147">
        <v>291.06</v>
      </c>
      <c r="K63" s="147">
        <v>2519.42</v>
      </c>
      <c r="L63" s="147">
        <v>1293.5999999999999</v>
      </c>
      <c r="M63" s="146" t="s">
        <v>21</v>
      </c>
      <c r="N63" s="146" t="s">
        <v>21</v>
      </c>
      <c r="O63" s="146" t="s">
        <v>21</v>
      </c>
      <c r="P63" s="147">
        <v>0</v>
      </c>
      <c r="Q63" s="147">
        <v>1293.5999999999999</v>
      </c>
      <c r="R63" s="147">
        <v>3813.02</v>
      </c>
    </row>
    <row r="64" spans="1:18" x14ac:dyDescent="0.25">
      <c r="A64" s="146" t="s">
        <v>66</v>
      </c>
      <c r="B64" s="150" t="s">
        <v>354</v>
      </c>
      <c r="C64" s="146">
        <v>1</v>
      </c>
      <c r="D64" s="146">
        <v>7</v>
      </c>
      <c r="E64" s="146" t="s">
        <v>534</v>
      </c>
      <c r="F64" s="146">
        <v>59</v>
      </c>
      <c r="G64" s="147">
        <v>330.57</v>
      </c>
      <c r="H64" s="147">
        <v>390.07</v>
      </c>
      <c r="I64" s="147">
        <v>1175.28</v>
      </c>
      <c r="J64" s="147">
        <v>219.42</v>
      </c>
      <c r="K64" s="147">
        <v>1784.77</v>
      </c>
      <c r="L64" s="147">
        <v>975.18</v>
      </c>
      <c r="M64" s="146" t="s">
        <v>21</v>
      </c>
      <c r="N64" s="146" t="s">
        <v>21</v>
      </c>
      <c r="O64" s="146" t="s">
        <v>21</v>
      </c>
      <c r="P64" s="147">
        <v>0</v>
      </c>
      <c r="Q64" s="147">
        <v>975.18</v>
      </c>
      <c r="R64" s="147">
        <v>2759.95</v>
      </c>
    </row>
    <row r="65" spans="1:18" x14ac:dyDescent="0.25">
      <c r="A65" s="146" t="s">
        <v>355</v>
      </c>
      <c r="B65" s="150" t="s">
        <v>356</v>
      </c>
      <c r="C65" s="146">
        <v>4</v>
      </c>
      <c r="D65" s="146">
        <v>7</v>
      </c>
      <c r="E65" s="146" t="s">
        <v>534</v>
      </c>
      <c r="F65" s="146">
        <v>59</v>
      </c>
      <c r="G65" s="147">
        <v>525.91</v>
      </c>
      <c r="H65" s="147">
        <v>620.57000000000005</v>
      </c>
      <c r="I65" s="147">
        <v>2331.19</v>
      </c>
      <c r="J65" s="147">
        <v>349.07</v>
      </c>
      <c r="K65" s="147">
        <v>3300.83</v>
      </c>
      <c r="L65" s="147">
        <v>1551.43</v>
      </c>
      <c r="M65" s="146" t="s">
        <v>21</v>
      </c>
      <c r="N65" s="146" t="s">
        <v>21</v>
      </c>
      <c r="O65" s="146" t="s">
        <v>21</v>
      </c>
      <c r="P65" s="147">
        <v>0</v>
      </c>
      <c r="Q65" s="147">
        <v>1551.43</v>
      </c>
      <c r="R65" s="147">
        <v>4852.26</v>
      </c>
    </row>
    <row r="66" spans="1:18" x14ac:dyDescent="0.25">
      <c r="A66" s="146" t="s">
        <v>357</v>
      </c>
      <c r="B66" s="150" t="s">
        <v>358</v>
      </c>
      <c r="C66" s="146">
        <v>4</v>
      </c>
      <c r="D66" s="146">
        <v>9</v>
      </c>
      <c r="E66" s="146" t="s">
        <v>21</v>
      </c>
      <c r="F66" s="146">
        <v>59</v>
      </c>
      <c r="G66" s="147">
        <v>570.19000000000005</v>
      </c>
      <c r="H66" s="147">
        <v>672.82</v>
      </c>
      <c r="I66" s="147">
        <v>2527.46</v>
      </c>
      <c r="J66" s="147">
        <v>378.46</v>
      </c>
      <c r="K66" s="147">
        <v>3578.74</v>
      </c>
      <c r="L66" s="147">
        <v>1682.06</v>
      </c>
      <c r="M66" s="146" t="s">
        <v>21</v>
      </c>
      <c r="N66" s="146" t="s">
        <v>21</v>
      </c>
      <c r="O66" s="146" t="s">
        <v>21</v>
      </c>
      <c r="P66" s="147">
        <v>0</v>
      </c>
      <c r="Q66" s="147">
        <v>1682.06</v>
      </c>
      <c r="R66" s="147">
        <v>5260.8</v>
      </c>
    </row>
    <row r="67" spans="1:18" x14ac:dyDescent="0.25">
      <c r="A67" s="146" t="s">
        <v>359</v>
      </c>
      <c r="B67" s="150" t="s">
        <v>360</v>
      </c>
      <c r="C67" s="146">
        <v>4</v>
      </c>
      <c r="D67" s="146">
        <v>8</v>
      </c>
      <c r="E67" s="146" t="s">
        <v>539</v>
      </c>
      <c r="F67" s="146">
        <v>51</v>
      </c>
      <c r="G67" s="147">
        <v>330.58</v>
      </c>
      <c r="H67" s="147">
        <v>337.19</v>
      </c>
      <c r="I67" s="147">
        <v>1015.96</v>
      </c>
      <c r="J67" s="147">
        <v>189.67</v>
      </c>
      <c r="K67" s="147">
        <v>1542.82</v>
      </c>
      <c r="L67" s="147">
        <v>842.98</v>
      </c>
      <c r="M67" s="146" t="s">
        <v>21</v>
      </c>
      <c r="N67" s="146" t="s">
        <v>21</v>
      </c>
      <c r="O67" s="146" t="s">
        <v>21</v>
      </c>
      <c r="P67" s="147">
        <v>0</v>
      </c>
      <c r="Q67" s="147">
        <v>842.98</v>
      </c>
      <c r="R67" s="147">
        <v>2385.8000000000002</v>
      </c>
    </row>
    <row r="68" spans="1:18" x14ac:dyDescent="0.25">
      <c r="A68" s="146" t="s">
        <v>67</v>
      </c>
      <c r="B68" s="150" t="s">
        <v>361</v>
      </c>
      <c r="C68" s="146">
        <v>4</v>
      </c>
      <c r="D68" s="146">
        <v>7</v>
      </c>
      <c r="E68" s="146" t="s">
        <v>534</v>
      </c>
      <c r="F68" s="146">
        <v>59</v>
      </c>
      <c r="G68" s="147">
        <v>641.14</v>
      </c>
      <c r="H68" s="147">
        <v>756.55</v>
      </c>
      <c r="I68" s="147">
        <v>2841.96</v>
      </c>
      <c r="J68" s="147">
        <v>425.56</v>
      </c>
      <c r="K68" s="147">
        <v>4024.07</v>
      </c>
      <c r="L68" s="147">
        <v>1891.36</v>
      </c>
      <c r="M68" s="146" t="s">
        <v>21</v>
      </c>
      <c r="N68" s="146" t="s">
        <v>21</v>
      </c>
      <c r="O68" s="146" t="s">
        <v>21</v>
      </c>
      <c r="P68" s="147">
        <v>0</v>
      </c>
      <c r="Q68" s="147">
        <v>1891.36</v>
      </c>
      <c r="R68" s="147">
        <v>5915.43</v>
      </c>
    </row>
    <row r="69" spans="1:18" x14ac:dyDescent="0.25">
      <c r="A69" s="146" t="s">
        <v>68</v>
      </c>
      <c r="B69" s="150" t="s">
        <v>362</v>
      </c>
      <c r="C69" s="146">
        <v>4</v>
      </c>
      <c r="D69" s="146">
        <v>7</v>
      </c>
      <c r="E69" s="146" t="s">
        <v>534</v>
      </c>
      <c r="F69" s="146">
        <v>59</v>
      </c>
      <c r="G69" s="147">
        <v>1522.72</v>
      </c>
      <c r="H69" s="147">
        <v>1796.81</v>
      </c>
      <c r="I69" s="147">
        <v>6749.71</v>
      </c>
      <c r="J69" s="147">
        <v>1010.71</v>
      </c>
      <c r="K69" s="147">
        <v>9557.23</v>
      </c>
      <c r="L69" s="147">
        <v>4492.0200000000004</v>
      </c>
      <c r="M69" s="146" t="s">
        <v>21</v>
      </c>
      <c r="N69" s="146" t="s">
        <v>21</v>
      </c>
      <c r="O69" s="146" t="s">
        <v>21</v>
      </c>
      <c r="P69" s="147">
        <v>0</v>
      </c>
      <c r="Q69" s="147">
        <v>4492.0200000000004</v>
      </c>
      <c r="R69" s="147">
        <v>14049.25</v>
      </c>
    </row>
    <row r="70" spans="1:18" x14ac:dyDescent="0.25">
      <c r="A70" s="146" t="s">
        <v>69</v>
      </c>
      <c r="B70" s="150" t="s">
        <v>363</v>
      </c>
      <c r="C70" s="146">
        <v>4</v>
      </c>
      <c r="D70" s="146">
        <v>7</v>
      </c>
      <c r="E70" s="146" t="s">
        <v>534</v>
      </c>
      <c r="F70" s="146">
        <v>59</v>
      </c>
      <c r="G70" s="147">
        <v>618.53</v>
      </c>
      <c r="H70" s="147">
        <v>729.87</v>
      </c>
      <c r="I70" s="147">
        <v>2741.73</v>
      </c>
      <c r="J70" s="147">
        <v>410.55</v>
      </c>
      <c r="K70" s="147">
        <v>3882.15</v>
      </c>
      <c r="L70" s="147">
        <v>1824.66</v>
      </c>
      <c r="M70" s="146" t="s">
        <v>21</v>
      </c>
      <c r="N70" s="146" t="s">
        <v>21</v>
      </c>
      <c r="O70" s="146" t="s">
        <v>21</v>
      </c>
      <c r="P70" s="147">
        <v>0</v>
      </c>
      <c r="Q70" s="147">
        <v>1824.66</v>
      </c>
      <c r="R70" s="147">
        <v>5706.81</v>
      </c>
    </row>
    <row r="71" spans="1:18" x14ac:dyDescent="0.25">
      <c r="A71" s="146" t="s">
        <v>70</v>
      </c>
      <c r="B71" s="150" t="s">
        <v>364</v>
      </c>
      <c r="C71" s="146">
        <v>1</v>
      </c>
      <c r="D71" s="146">
        <v>7</v>
      </c>
      <c r="E71" s="146" t="s">
        <v>534</v>
      </c>
      <c r="F71" s="146">
        <v>59</v>
      </c>
      <c r="G71" s="147">
        <v>330.57</v>
      </c>
      <c r="H71" s="147">
        <v>390.07</v>
      </c>
      <c r="I71" s="147">
        <v>1175.28</v>
      </c>
      <c r="J71" s="147">
        <v>219.42</v>
      </c>
      <c r="K71" s="147">
        <v>1784.77</v>
      </c>
      <c r="L71" s="147">
        <v>975.18</v>
      </c>
      <c r="M71" s="146" t="s">
        <v>21</v>
      </c>
      <c r="N71" s="146" t="s">
        <v>21</v>
      </c>
      <c r="O71" s="146" t="s">
        <v>21</v>
      </c>
      <c r="P71" s="147">
        <v>0</v>
      </c>
      <c r="Q71" s="147">
        <v>975.18</v>
      </c>
      <c r="R71" s="147">
        <v>2759.95</v>
      </c>
    </row>
    <row r="72" spans="1:18" x14ac:dyDescent="0.25">
      <c r="A72" s="146" t="s">
        <v>71</v>
      </c>
      <c r="B72" s="150" t="s">
        <v>365</v>
      </c>
      <c r="C72" s="146">
        <v>4</v>
      </c>
      <c r="D72" s="146">
        <v>7</v>
      </c>
      <c r="E72" s="146" t="s">
        <v>534</v>
      </c>
      <c r="F72" s="146">
        <v>59</v>
      </c>
      <c r="G72" s="147">
        <v>492.57</v>
      </c>
      <c r="H72" s="147">
        <v>581.23</v>
      </c>
      <c r="I72" s="147">
        <v>2183.4</v>
      </c>
      <c r="J72" s="147">
        <v>326.94</v>
      </c>
      <c r="K72" s="147">
        <v>3091.57</v>
      </c>
      <c r="L72" s="147">
        <v>1453.08</v>
      </c>
      <c r="M72" s="146" t="s">
        <v>21</v>
      </c>
      <c r="N72" s="146" t="s">
        <v>21</v>
      </c>
      <c r="O72" s="146" t="s">
        <v>21</v>
      </c>
      <c r="P72" s="147">
        <v>0</v>
      </c>
      <c r="Q72" s="147">
        <v>1453.08</v>
      </c>
      <c r="R72" s="147">
        <v>4544.6499999999996</v>
      </c>
    </row>
    <row r="73" spans="1:18" x14ac:dyDescent="0.25">
      <c r="A73" s="146" t="s">
        <v>72</v>
      </c>
      <c r="B73" s="150" t="s">
        <v>366</v>
      </c>
      <c r="C73" s="146">
        <v>4</v>
      </c>
      <c r="D73" s="146">
        <v>7</v>
      </c>
      <c r="E73" s="146" t="s">
        <v>534</v>
      </c>
      <c r="F73" s="146">
        <v>59</v>
      </c>
      <c r="G73" s="147">
        <v>1435.59</v>
      </c>
      <c r="H73" s="147">
        <v>1694</v>
      </c>
      <c r="I73" s="147">
        <v>6363.49</v>
      </c>
      <c r="J73" s="147">
        <v>952.87</v>
      </c>
      <c r="K73" s="147">
        <v>9010.36</v>
      </c>
      <c r="L73" s="147">
        <v>4234.99</v>
      </c>
      <c r="M73" s="146" t="s">
        <v>21</v>
      </c>
      <c r="N73" s="146" t="s">
        <v>21</v>
      </c>
      <c r="O73" s="146" t="s">
        <v>21</v>
      </c>
      <c r="P73" s="147">
        <v>0</v>
      </c>
      <c r="Q73" s="147">
        <v>4234.99</v>
      </c>
      <c r="R73" s="147">
        <v>13245.35</v>
      </c>
    </row>
    <row r="74" spans="1:18" x14ac:dyDescent="0.25">
      <c r="A74" s="146" t="s">
        <v>73</v>
      </c>
      <c r="B74" s="150" t="s">
        <v>367</v>
      </c>
      <c r="C74" s="146">
        <v>4</v>
      </c>
      <c r="D74" s="146">
        <v>7</v>
      </c>
      <c r="E74" s="146" t="s">
        <v>534</v>
      </c>
      <c r="F74" s="146">
        <v>59</v>
      </c>
      <c r="G74" s="147">
        <v>552.76</v>
      </c>
      <c r="H74" s="147">
        <v>652.26</v>
      </c>
      <c r="I74" s="147">
        <v>2450.1999999999998</v>
      </c>
      <c r="J74" s="147">
        <v>366.89</v>
      </c>
      <c r="K74" s="147">
        <v>3469.35</v>
      </c>
      <c r="L74" s="147">
        <v>1630.64</v>
      </c>
      <c r="M74" s="146" t="s">
        <v>21</v>
      </c>
      <c r="N74" s="146" t="s">
        <v>21</v>
      </c>
      <c r="O74" s="146" t="s">
        <v>21</v>
      </c>
      <c r="P74" s="147">
        <v>0</v>
      </c>
      <c r="Q74" s="147">
        <v>1630.64</v>
      </c>
      <c r="R74" s="147">
        <v>5099.99</v>
      </c>
    </row>
    <row r="75" spans="1:18" x14ac:dyDescent="0.25">
      <c r="A75" s="146" t="s">
        <v>74</v>
      </c>
      <c r="B75" s="150" t="s">
        <v>368</v>
      </c>
      <c r="C75" s="146">
        <v>4</v>
      </c>
      <c r="D75" s="146">
        <v>7</v>
      </c>
      <c r="E75" s="146" t="s">
        <v>534</v>
      </c>
      <c r="F75" s="146">
        <v>59</v>
      </c>
      <c r="G75" s="147">
        <v>1087.07</v>
      </c>
      <c r="H75" s="147">
        <v>1282.74</v>
      </c>
      <c r="I75" s="147">
        <v>4818.62</v>
      </c>
      <c r="J75" s="147">
        <v>721.54</v>
      </c>
      <c r="K75" s="147">
        <v>6822.9</v>
      </c>
      <c r="L75" s="147">
        <v>3206.86</v>
      </c>
      <c r="M75" s="146" t="s">
        <v>21</v>
      </c>
      <c r="N75" s="146" t="s">
        <v>21</v>
      </c>
      <c r="O75" s="146" t="s">
        <v>21</v>
      </c>
      <c r="P75" s="147">
        <v>0</v>
      </c>
      <c r="Q75" s="147">
        <v>3206.86</v>
      </c>
      <c r="R75" s="147">
        <v>10029.76</v>
      </c>
    </row>
    <row r="76" spans="1:18" x14ac:dyDescent="0.25">
      <c r="A76" s="146" t="s">
        <v>75</v>
      </c>
      <c r="B76" s="150" t="s">
        <v>369</v>
      </c>
      <c r="C76" s="146">
        <v>4</v>
      </c>
      <c r="D76" s="146">
        <v>7</v>
      </c>
      <c r="E76" s="146" t="s">
        <v>534</v>
      </c>
      <c r="F76" s="146">
        <v>59</v>
      </c>
      <c r="G76" s="147">
        <v>430.06</v>
      </c>
      <c r="H76" s="147">
        <v>507.47</v>
      </c>
      <c r="I76" s="147">
        <v>1677.96</v>
      </c>
      <c r="J76" s="147">
        <v>285.45</v>
      </c>
      <c r="K76" s="147">
        <v>2470.88</v>
      </c>
      <c r="L76" s="147">
        <v>1268.68</v>
      </c>
      <c r="M76" s="146" t="s">
        <v>21</v>
      </c>
      <c r="N76" s="146" t="s">
        <v>21</v>
      </c>
      <c r="O76" s="146" t="s">
        <v>21</v>
      </c>
      <c r="P76" s="147">
        <v>0</v>
      </c>
      <c r="Q76" s="147">
        <v>1268.68</v>
      </c>
      <c r="R76" s="147">
        <v>3739.56</v>
      </c>
    </row>
    <row r="77" spans="1:18" x14ac:dyDescent="0.25">
      <c r="A77" s="146" t="s">
        <v>76</v>
      </c>
      <c r="B77" s="150" t="s">
        <v>370</v>
      </c>
      <c r="C77" s="146">
        <v>4</v>
      </c>
      <c r="D77" s="146">
        <v>7</v>
      </c>
      <c r="E77" s="146" t="s">
        <v>534</v>
      </c>
      <c r="F77" s="146">
        <v>59</v>
      </c>
      <c r="G77" s="147">
        <v>552.76</v>
      </c>
      <c r="H77" s="147">
        <v>652.26</v>
      </c>
      <c r="I77" s="147">
        <v>2450.1999999999998</v>
      </c>
      <c r="J77" s="147">
        <v>366.89</v>
      </c>
      <c r="K77" s="147">
        <v>3469.35</v>
      </c>
      <c r="L77" s="147">
        <v>1630.64</v>
      </c>
      <c r="M77" s="146" t="s">
        <v>21</v>
      </c>
      <c r="N77" s="146" t="s">
        <v>21</v>
      </c>
      <c r="O77" s="146" t="s">
        <v>21</v>
      </c>
      <c r="P77" s="147">
        <v>0</v>
      </c>
      <c r="Q77" s="147">
        <v>1630.64</v>
      </c>
      <c r="R77" s="147">
        <v>5099.99</v>
      </c>
    </row>
    <row r="78" spans="1:18" x14ac:dyDescent="0.25">
      <c r="A78" s="146" t="s">
        <v>77</v>
      </c>
      <c r="B78" s="150" t="s">
        <v>371</v>
      </c>
      <c r="C78" s="146">
        <v>4</v>
      </c>
      <c r="D78" s="146">
        <v>7</v>
      </c>
      <c r="E78" s="146" t="s">
        <v>534</v>
      </c>
      <c r="F78" s="146">
        <v>59</v>
      </c>
      <c r="G78" s="147">
        <v>967.81</v>
      </c>
      <c r="H78" s="147">
        <v>1142.02</v>
      </c>
      <c r="I78" s="147">
        <v>4289.9799999999996</v>
      </c>
      <c r="J78" s="147">
        <v>642.38</v>
      </c>
      <c r="K78" s="147">
        <v>6074.38</v>
      </c>
      <c r="L78" s="147">
        <v>2855.04</v>
      </c>
      <c r="M78" s="146" t="s">
        <v>21</v>
      </c>
      <c r="N78" s="146" t="s">
        <v>21</v>
      </c>
      <c r="O78" s="146" t="s">
        <v>21</v>
      </c>
      <c r="P78" s="147">
        <v>0</v>
      </c>
      <c r="Q78" s="147">
        <v>2855.04</v>
      </c>
      <c r="R78" s="147">
        <v>8929.42</v>
      </c>
    </row>
    <row r="79" spans="1:18" x14ac:dyDescent="0.25">
      <c r="A79" s="146" t="s">
        <v>78</v>
      </c>
      <c r="B79" s="150" t="s">
        <v>372</v>
      </c>
      <c r="C79" s="146">
        <v>4</v>
      </c>
      <c r="D79" s="146">
        <v>7</v>
      </c>
      <c r="E79" s="146" t="s">
        <v>534</v>
      </c>
      <c r="F79" s="146">
        <v>59</v>
      </c>
      <c r="G79" s="147">
        <v>459.18</v>
      </c>
      <c r="H79" s="147">
        <v>541.83000000000004</v>
      </c>
      <c r="I79" s="147">
        <v>1919.68</v>
      </c>
      <c r="J79" s="147">
        <v>304.77999999999997</v>
      </c>
      <c r="K79" s="147">
        <v>2766.29</v>
      </c>
      <c r="L79" s="147">
        <v>1354.58</v>
      </c>
      <c r="M79" s="146" t="s">
        <v>21</v>
      </c>
      <c r="N79" s="146" t="s">
        <v>21</v>
      </c>
      <c r="O79" s="146" t="s">
        <v>21</v>
      </c>
      <c r="P79" s="147">
        <v>0</v>
      </c>
      <c r="Q79" s="147">
        <v>1354.58</v>
      </c>
      <c r="R79" s="147">
        <v>4120.87</v>
      </c>
    </row>
    <row r="80" spans="1:18" x14ac:dyDescent="0.25">
      <c r="A80" s="146" t="s">
        <v>79</v>
      </c>
      <c r="B80" s="150" t="s">
        <v>373</v>
      </c>
      <c r="C80" s="146">
        <v>4</v>
      </c>
      <c r="D80" s="146">
        <v>7</v>
      </c>
      <c r="E80" s="146" t="s">
        <v>534</v>
      </c>
      <c r="F80" s="146">
        <v>59</v>
      </c>
      <c r="G80" s="147">
        <v>799.67</v>
      </c>
      <c r="H80" s="147">
        <v>943.61</v>
      </c>
      <c r="I80" s="147">
        <v>3544.68</v>
      </c>
      <c r="J80" s="147">
        <v>530.78</v>
      </c>
      <c r="K80" s="147">
        <v>5019.07</v>
      </c>
      <c r="L80" s="147">
        <v>2359.0300000000002</v>
      </c>
      <c r="M80" s="146" t="s">
        <v>21</v>
      </c>
      <c r="N80" s="146" t="s">
        <v>21</v>
      </c>
      <c r="O80" s="146" t="s">
        <v>21</v>
      </c>
      <c r="P80" s="147">
        <v>0</v>
      </c>
      <c r="Q80" s="147">
        <v>2359.0300000000002</v>
      </c>
      <c r="R80" s="147">
        <v>7378.1</v>
      </c>
    </row>
    <row r="81" spans="1:18" x14ac:dyDescent="0.25">
      <c r="A81" s="146" t="s">
        <v>80</v>
      </c>
      <c r="B81" s="150" t="s">
        <v>374</v>
      </c>
      <c r="C81" s="146">
        <v>4</v>
      </c>
      <c r="D81" s="146">
        <v>7</v>
      </c>
      <c r="E81" s="146" t="s">
        <v>534</v>
      </c>
      <c r="F81" s="146">
        <v>59</v>
      </c>
      <c r="G81" s="147">
        <v>489.76</v>
      </c>
      <c r="H81" s="147">
        <v>577.91999999999996</v>
      </c>
      <c r="I81" s="147">
        <v>2170.9499999999998</v>
      </c>
      <c r="J81" s="147">
        <v>325.08</v>
      </c>
      <c r="K81" s="147">
        <v>3073.95</v>
      </c>
      <c r="L81" s="147">
        <v>1444.79</v>
      </c>
      <c r="M81" s="146" t="s">
        <v>21</v>
      </c>
      <c r="N81" s="146" t="s">
        <v>21</v>
      </c>
      <c r="O81" s="146" t="s">
        <v>21</v>
      </c>
      <c r="P81" s="147">
        <v>0</v>
      </c>
      <c r="Q81" s="147">
        <v>1444.79</v>
      </c>
      <c r="R81" s="147">
        <v>4518.74</v>
      </c>
    </row>
    <row r="82" spans="1:18" x14ac:dyDescent="0.25">
      <c r="A82" s="146" t="s">
        <v>81</v>
      </c>
      <c r="B82" s="150" t="s">
        <v>540</v>
      </c>
      <c r="C82" s="146">
        <v>4</v>
      </c>
      <c r="D82" s="146">
        <v>9</v>
      </c>
      <c r="E82" s="146" t="s">
        <v>21</v>
      </c>
      <c r="F82" s="146">
        <v>19</v>
      </c>
      <c r="G82" s="147">
        <v>1785.3</v>
      </c>
      <c r="H82" s="147">
        <v>678.41</v>
      </c>
      <c r="I82" s="147">
        <v>2548.46</v>
      </c>
      <c r="J82" s="147">
        <v>381.61</v>
      </c>
      <c r="K82" s="147">
        <v>3608.48</v>
      </c>
      <c r="L82" s="147">
        <v>1696.04</v>
      </c>
      <c r="M82" s="146" t="s">
        <v>21</v>
      </c>
      <c r="N82" s="146" t="s">
        <v>21</v>
      </c>
      <c r="O82" s="146" t="s">
        <v>21</v>
      </c>
      <c r="P82" s="147">
        <v>0</v>
      </c>
      <c r="Q82" s="147">
        <v>1696.04</v>
      </c>
      <c r="R82" s="147">
        <v>5304.52</v>
      </c>
    </row>
    <row r="83" spans="1:18" x14ac:dyDescent="0.25">
      <c r="A83" s="146" t="s">
        <v>81</v>
      </c>
      <c r="B83" s="150" t="s">
        <v>540</v>
      </c>
      <c r="C83" s="146">
        <v>0</v>
      </c>
      <c r="D83" s="146">
        <v>2</v>
      </c>
      <c r="E83" s="146" t="s">
        <v>541</v>
      </c>
      <c r="F83" s="146">
        <v>0</v>
      </c>
      <c r="G83" s="147">
        <v>0</v>
      </c>
      <c r="H83" s="147">
        <v>0</v>
      </c>
      <c r="I83" s="147">
        <v>0</v>
      </c>
      <c r="J83" s="147">
        <v>0</v>
      </c>
      <c r="K83" s="147">
        <v>0</v>
      </c>
      <c r="L83" s="147">
        <v>0</v>
      </c>
      <c r="M83" s="146" t="s">
        <v>21</v>
      </c>
      <c r="N83" s="146" t="s">
        <v>21</v>
      </c>
      <c r="O83" s="146" t="s">
        <v>21</v>
      </c>
      <c r="P83" s="147">
        <v>0</v>
      </c>
      <c r="Q83" s="147">
        <v>0</v>
      </c>
      <c r="R83" s="147">
        <v>0</v>
      </c>
    </row>
    <row r="84" spans="1:18" x14ac:dyDescent="0.25">
      <c r="A84" s="146" t="s">
        <v>82</v>
      </c>
      <c r="B84" s="150" t="s">
        <v>375</v>
      </c>
      <c r="C84" s="146">
        <v>1</v>
      </c>
      <c r="D84" s="146">
        <v>7</v>
      </c>
      <c r="E84" s="146" t="s">
        <v>534</v>
      </c>
      <c r="F84" s="146">
        <v>59</v>
      </c>
      <c r="G84" s="147">
        <v>330.57</v>
      </c>
      <c r="H84" s="147">
        <v>390.07</v>
      </c>
      <c r="I84" s="147">
        <v>1175.28</v>
      </c>
      <c r="J84" s="147">
        <v>219.42</v>
      </c>
      <c r="K84" s="147">
        <v>1784.77</v>
      </c>
      <c r="L84" s="147">
        <v>975.18</v>
      </c>
      <c r="M84" s="146" t="s">
        <v>21</v>
      </c>
      <c r="N84" s="146" t="s">
        <v>21</v>
      </c>
      <c r="O84" s="146" t="s">
        <v>21</v>
      </c>
      <c r="P84" s="147">
        <v>0</v>
      </c>
      <c r="Q84" s="147">
        <v>975.18</v>
      </c>
      <c r="R84" s="147">
        <v>2759.95</v>
      </c>
    </row>
    <row r="85" spans="1:18" x14ac:dyDescent="0.25">
      <c r="A85" s="146" t="s">
        <v>83</v>
      </c>
      <c r="B85" s="150" t="s">
        <v>376</v>
      </c>
      <c r="C85" s="146">
        <v>4</v>
      </c>
      <c r="D85" s="146">
        <v>7</v>
      </c>
      <c r="E85" s="146" t="s">
        <v>534</v>
      </c>
      <c r="F85" s="146">
        <v>59</v>
      </c>
      <c r="G85" s="147">
        <v>357.16</v>
      </c>
      <c r="H85" s="147">
        <v>421.45</v>
      </c>
      <c r="I85" s="147">
        <v>1340.42</v>
      </c>
      <c r="J85" s="147">
        <v>237.06</v>
      </c>
      <c r="K85" s="147">
        <v>1998.93</v>
      </c>
      <c r="L85" s="147">
        <v>1053.6199999999999</v>
      </c>
      <c r="M85" s="146" t="s">
        <v>21</v>
      </c>
      <c r="N85" s="146" t="s">
        <v>21</v>
      </c>
      <c r="O85" s="146" t="s">
        <v>21</v>
      </c>
      <c r="P85" s="147">
        <v>0</v>
      </c>
      <c r="Q85" s="147">
        <v>1053.6199999999999</v>
      </c>
      <c r="R85" s="147">
        <v>3052.55</v>
      </c>
    </row>
    <row r="86" spans="1:18" x14ac:dyDescent="0.25">
      <c r="A86" s="146" t="s">
        <v>84</v>
      </c>
      <c r="B86" s="150" t="s">
        <v>377</v>
      </c>
      <c r="C86" s="146">
        <v>4</v>
      </c>
      <c r="D86" s="146">
        <v>7</v>
      </c>
      <c r="E86" s="146" t="s">
        <v>534</v>
      </c>
      <c r="F86" s="146">
        <v>59</v>
      </c>
      <c r="G86" s="147">
        <v>967.81</v>
      </c>
      <c r="H86" s="147">
        <v>1142.02</v>
      </c>
      <c r="I86" s="147">
        <v>4289.9799999999996</v>
      </c>
      <c r="J86" s="147">
        <v>642.38</v>
      </c>
      <c r="K86" s="147">
        <v>6074.38</v>
      </c>
      <c r="L86" s="147">
        <v>2855.04</v>
      </c>
      <c r="M86" s="146" t="s">
        <v>21</v>
      </c>
      <c r="N86" s="146" t="s">
        <v>21</v>
      </c>
      <c r="O86" s="146" t="s">
        <v>21</v>
      </c>
      <c r="P86" s="147">
        <v>0</v>
      </c>
      <c r="Q86" s="147">
        <v>2855.04</v>
      </c>
      <c r="R86" s="147">
        <v>8929.42</v>
      </c>
    </row>
    <row r="87" spans="1:18" x14ac:dyDescent="0.25">
      <c r="A87" s="146" t="s">
        <v>85</v>
      </c>
      <c r="B87" s="150" t="s">
        <v>378</v>
      </c>
      <c r="C87" s="146">
        <v>1</v>
      </c>
      <c r="D87" s="146">
        <v>7</v>
      </c>
      <c r="E87" s="146" t="s">
        <v>534</v>
      </c>
      <c r="F87" s="146">
        <v>59</v>
      </c>
      <c r="G87" s="147">
        <v>330.57</v>
      </c>
      <c r="H87" s="147">
        <v>390.07</v>
      </c>
      <c r="I87" s="147">
        <v>1175.28</v>
      </c>
      <c r="J87" s="147">
        <v>219.42</v>
      </c>
      <c r="K87" s="147">
        <v>1784.77</v>
      </c>
      <c r="L87" s="147">
        <v>975.18</v>
      </c>
      <c r="M87" s="146" t="s">
        <v>21</v>
      </c>
      <c r="N87" s="146" t="s">
        <v>21</v>
      </c>
      <c r="O87" s="146" t="s">
        <v>21</v>
      </c>
      <c r="P87" s="147">
        <v>0</v>
      </c>
      <c r="Q87" s="147">
        <v>975.18</v>
      </c>
      <c r="R87" s="147">
        <v>2759.95</v>
      </c>
    </row>
    <row r="88" spans="1:18" x14ac:dyDescent="0.25">
      <c r="A88" s="146" t="s">
        <v>86</v>
      </c>
      <c r="B88" s="150" t="s">
        <v>379</v>
      </c>
      <c r="C88" s="146">
        <v>1</v>
      </c>
      <c r="D88" s="146">
        <v>7</v>
      </c>
      <c r="E88" s="146" t="s">
        <v>534</v>
      </c>
      <c r="F88" s="146">
        <v>59</v>
      </c>
      <c r="G88" s="147">
        <v>330.57</v>
      </c>
      <c r="H88" s="147">
        <v>390.07</v>
      </c>
      <c r="I88" s="147">
        <v>1175.28</v>
      </c>
      <c r="J88" s="147">
        <v>219.42</v>
      </c>
      <c r="K88" s="147">
        <v>1784.77</v>
      </c>
      <c r="L88" s="147">
        <v>975.18</v>
      </c>
      <c r="M88" s="146" t="s">
        <v>21</v>
      </c>
      <c r="N88" s="146" t="s">
        <v>21</v>
      </c>
      <c r="O88" s="146" t="s">
        <v>21</v>
      </c>
      <c r="P88" s="147">
        <v>0</v>
      </c>
      <c r="Q88" s="147">
        <v>975.18</v>
      </c>
      <c r="R88" s="147">
        <v>2759.95</v>
      </c>
    </row>
    <row r="89" spans="1:18" x14ac:dyDescent="0.25">
      <c r="A89" s="146" t="s">
        <v>87</v>
      </c>
      <c r="B89" s="150" t="s">
        <v>380</v>
      </c>
      <c r="C89" s="146">
        <v>4</v>
      </c>
      <c r="D89" s="146">
        <v>7</v>
      </c>
      <c r="E89" s="146" t="s">
        <v>534</v>
      </c>
      <c r="F89" s="146">
        <v>59</v>
      </c>
      <c r="G89" s="147">
        <v>464.94</v>
      </c>
      <c r="H89" s="147">
        <v>548.63</v>
      </c>
      <c r="I89" s="147">
        <v>1943.76</v>
      </c>
      <c r="J89" s="147">
        <v>308.60000000000002</v>
      </c>
      <c r="K89" s="147">
        <v>2800.99</v>
      </c>
      <c r="L89" s="147">
        <v>1371.57</v>
      </c>
      <c r="M89" s="146" t="s">
        <v>21</v>
      </c>
      <c r="N89" s="146" t="s">
        <v>21</v>
      </c>
      <c r="O89" s="146" t="s">
        <v>21</v>
      </c>
      <c r="P89" s="147">
        <v>0</v>
      </c>
      <c r="Q89" s="147">
        <v>1371.57</v>
      </c>
      <c r="R89" s="147">
        <v>4172.5600000000004</v>
      </c>
    </row>
    <row r="90" spans="1:18" x14ac:dyDescent="0.25">
      <c r="A90" s="146" t="s">
        <v>88</v>
      </c>
      <c r="B90" s="150" t="s">
        <v>381</v>
      </c>
      <c r="C90" s="146">
        <v>1</v>
      </c>
      <c r="D90" s="146">
        <v>7</v>
      </c>
      <c r="E90" s="146" t="s">
        <v>534</v>
      </c>
      <c r="F90" s="146">
        <v>59</v>
      </c>
      <c r="G90" s="147">
        <v>330.57</v>
      </c>
      <c r="H90" s="147">
        <v>390.07</v>
      </c>
      <c r="I90" s="147">
        <v>1175.28</v>
      </c>
      <c r="J90" s="147">
        <v>219.42</v>
      </c>
      <c r="K90" s="147">
        <v>1784.77</v>
      </c>
      <c r="L90" s="147">
        <v>975.18</v>
      </c>
      <c r="M90" s="146" t="s">
        <v>21</v>
      </c>
      <c r="N90" s="146" t="s">
        <v>21</v>
      </c>
      <c r="O90" s="146" t="s">
        <v>21</v>
      </c>
      <c r="P90" s="147">
        <v>0</v>
      </c>
      <c r="Q90" s="147">
        <v>975.18</v>
      </c>
      <c r="R90" s="147">
        <v>2759.95</v>
      </c>
    </row>
    <row r="91" spans="1:18" x14ac:dyDescent="0.25">
      <c r="A91" s="146" t="s">
        <v>89</v>
      </c>
      <c r="B91" s="150" t="s">
        <v>382</v>
      </c>
      <c r="C91" s="146">
        <v>4</v>
      </c>
      <c r="D91" s="146">
        <v>7</v>
      </c>
      <c r="E91" s="146" t="s">
        <v>534</v>
      </c>
      <c r="F91" s="146">
        <v>59</v>
      </c>
      <c r="G91" s="147">
        <v>560.66999999999996</v>
      </c>
      <c r="H91" s="147">
        <v>661.59</v>
      </c>
      <c r="I91" s="147">
        <v>2485.27</v>
      </c>
      <c r="J91" s="147">
        <v>372.14</v>
      </c>
      <c r="K91" s="147">
        <v>3519</v>
      </c>
      <c r="L91" s="147">
        <v>1653.98</v>
      </c>
      <c r="M91" s="146" t="s">
        <v>21</v>
      </c>
      <c r="N91" s="146" t="s">
        <v>21</v>
      </c>
      <c r="O91" s="146" t="s">
        <v>21</v>
      </c>
      <c r="P91" s="147">
        <v>0</v>
      </c>
      <c r="Q91" s="147">
        <v>1653.98</v>
      </c>
      <c r="R91" s="147">
        <v>5172.9799999999996</v>
      </c>
    </row>
    <row r="92" spans="1:18" x14ac:dyDescent="0.25">
      <c r="A92" s="146" t="s">
        <v>90</v>
      </c>
      <c r="B92" s="150" t="s">
        <v>383</v>
      </c>
      <c r="C92" s="146">
        <v>1</v>
      </c>
      <c r="D92" s="146">
        <v>7</v>
      </c>
      <c r="E92" s="146" t="s">
        <v>534</v>
      </c>
      <c r="F92" s="146">
        <v>59</v>
      </c>
      <c r="G92" s="147">
        <v>330.57</v>
      </c>
      <c r="H92" s="147">
        <v>390.07</v>
      </c>
      <c r="I92" s="147">
        <v>1175.28</v>
      </c>
      <c r="J92" s="147">
        <v>219.42</v>
      </c>
      <c r="K92" s="147">
        <v>1784.77</v>
      </c>
      <c r="L92" s="147">
        <v>975.18</v>
      </c>
      <c r="M92" s="146" t="s">
        <v>21</v>
      </c>
      <c r="N92" s="146" t="s">
        <v>21</v>
      </c>
      <c r="O92" s="146" t="s">
        <v>21</v>
      </c>
      <c r="P92" s="147">
        <v>0</v>
      </c>
      <c r="Q92" s="147">
        <v>975.18</v>
      </c>
      <c r="R92" s="147">
        <v>2759.95</v>
      </c>
    </row>
    <row r="93" spans="1:18" x14ac:dyDescent="0.25">
      <c r="A93" s="146" t="s">
        <v>91</v>
      </c>
      <c r="B93" s="150" t="s">
        <v>384</v>
      </c>
      <c r="C93" s="146">
        <v>4</v>
      </c>
      <c r="D93" s="146">
        <v>7</v>
      </c>
      <c r="E93" s="146" t="s">
        <v>534</v>
      </c>
      <c r="F93" s="146">
        <v>59</v>
      </c>
      <c r="G93" s="147">
        <v>1101.8</v>
      </c>
      <c r="H93" s="147">
        <v>1300.1199999999999</v>
      </c>
      <c r="I93" s="147">
        <v>4883.92</v>
      </c>
      <c r="J93" s="147">
        <v>731.32</v>
      </c>
      <c r="K93" s="147">
        <v>6915.36</v>
      </c>
      <c r="L93" s="147">
        <v>3250.31</v>
      </c>
      <c r="M93" s="146" t="s">
        <v>21</v>
      </c>
      <c r="N93" s="146" t="s">
        <v>21</v>
      </c>
      <c r="O93" s="146" t="s">
        <v>21</v>
      </c>
      <c r="P93" s="147">
        <v>0</v>
      </c>
      <c r="Q93" s="147">
        <v>3250.31</v>
      </c>
      <c r="R93" s="147">
        <v>10165.67</v>
      </c>
    </row>
    <row r="94" spans="1:18" x14ac:dyDescent="0.25">
      <c r="A94" s="146" t="s">
        <v>92</v>
      </c>
      <c r="B94" s="150" t="s">
        <v>385</v>
      </c>
      <c r="C94" s="146">
        <v>4</v>
      </c>
      <c r="D94" s="146">
        <v>7</v>
      </c>
      <c r="E94" s="146" t="s">
        <v>534</v>
      </c>
      <c r="F94" s="146">
        <v>59</v>
      </c>
      <c r="G94" s="147">
        <v>460.47</v>
      </c>
      <c r="H94" s="147">
        <v>543.35</v>
      </c>
      <c r="I94" s="147">
        <v>1925.07</v>
      </c>
      <c r="J94" s="147">
        <v>305.64</v>
      </c>
      <c r="K94" s="147">
        <v>2774.06</v>
      </c>
      <c r="L94" s="147">
        <v>1358.39</v>
      </c>
      <c r="M94" s="146" t="s">
        <v>21</v>
      </c>
      <c r="N94" s="146" t="s">
        <v>21</v>
      </c>
      <c r="O94" s="146" t="s">
        <v>21</v>
      </c>
      <c r="P94" s="147">
        <v>0</v>
      </c>
      <c r="Q94" s="147">
        <v>1358.39</v>
      </c>
      <c r="R94" s="147">
        <v>4132.45</v>
      </c>
    </row>
    <row r="95" spans="1:18" x14ac:dyDescent="0.25">
      <c r="A95" s="146" t="s">
        <v>386</v>
      </c>
      <c r="B95" s="150" t="s">
        <v>387</v>
      </c>
      <c r="C95" s="146">
        <v>4</v>
      </c>
      <c r="D95" s="146">
        <v>8</v>
      </c>
      <c r="E95" s="146" t="s">
        <v>542</v>
      </c>
      <c r="F95" s="146">
        <v>55</v>
      </c>
      <c r="G95" s="147">
        <v>2233.33</v>
      </c>
      <c r="H95" s="147">
        <v>2456.66</v>
      </c>
      <c r="I95" s="147">
        <v>9228.4500000000007</v>
      </c>
      <c r="J95" s="147">
        <v>1381.87</v>
      </c>
      <c r="K95" s="147">
        <v>13066.98</v>
      </c>
      <c r="L95" s="147">
        <v>6141.66</v>
      </c>
      <c r="M95" s="146" t="s">
        <v>21</v>
      </c>
      <c r="N95" s="146" t="s">
        <v>21</v>
      </c>
      <c r="O95" s="146" t="s">
        <v>21</v>
      </c>
      <c r="P95" s="147">
        <v>0</v>
      </c>
      <c r="Q95" s="147">
        <v>6141.66</v>
      </c>
      <c r="R95" s="147">
        <v>19208.64</v>
      </c>
    </row>
    <row r="96" spans="1:18" x14ac:dyDescent="0.25">
      <c r="A96" s="146" t="s">
        <v>93</v>
      </c>
      <c r="B96" s="150" t="s">
        <v>388</v>
      </c>
      <c r="C96" s="146">
        <v>4</v>
      </c>
      <c r="D96" s="146">
        <v>7</v>
      </c>
      <c r="E96" s="146" t="s">
        <v>534</v>
      </c>
      <c r="F96" s="146">
        <v>59</v>
      </c>
      <c r="G96" s="147">
        <v>687.34</v>
      </c>
      <c r="H96" s="147">
        <v>811.06</v>
      </c>
      <c r="I96" s="147">
        <v>3046.76</v>
      </c>
      <c r="J96" s="147">
        <v>456.22</v>
      </c>
      <c r="K96" s="147">
        <v>4314.04</v>
      </c>
      <c r="L96" s="147">
        <v>2027.65</v>
      </c>
      <c r="M96" s="146" t="s">
        <v>21</v>
      </c>
      <c r="N96" s="146" t="s">
        <v>21</v>
      </c>
      <c r="O96" s="146" t="s">
        <v>21</v>
      </c>
      <c r="P96" s="147">
        <v>0</v>
      </c>
      <c r="Q96" s="147">
        <v>2027.65</v>
      </c>
      <c r="R96" s="147">
        <v>6341.69</v>
      </c>
    </row>
    <row r="97" spans="1:18" x14ac:dyDescent="0.25">
      <c r="A97" s="146" t="s">
        <v>94</v>
      </c>
      <c r="B97" s="150" t="s">
        <v>389</v>
      </c>
      <c r="C97" s="146">
        <v>1</v>
      </c>
      <c r="D97" s="146">
        <v>7</v>
      </c>
      <c r="E97" s="146" t="s">
        <v>534</v>
      </c>
      <c r="F97" s="146">
        <v>59</v>
      </c>
      <c r="G97" s="147">
        <v>330.57</v>
      </c>
      <c r="H97" s="147">
        <v>390.07</v>
      </c>
      <c r="I97" s="147">
        <v>1175.28</v>
      </c>
      <c r="J97" s="147">
        <v>219.42</v>
      </c>
      <c r="K97" s="147">
        <v>1784.77</v>
      </c>
      <c r="L97" s="147">
        <v>975.18</v>
      </c>
      <c r="M97" s="146" t="s">
        <v>21</v>
      </c>
      <c r="N97" s="146" t="s">
        <v>21</v>
      </c>
      <c r="O97" s="146" t="s">
        <v>21</v>
      </c>
      <c r="P97" s="147">
        <v>0</v>
      </c>
      <c r="Q97" s="147">
        <v>975.18</v>
      </c>
      <c r="R97" s="147">
        <v>2759.95</v>
      </c>
    </row>
    <row r="98" spans="1:18" x14ac:dyDescent="0.25">
      <c r="A98" s="146" t="s">
        <v>95</v>
      </c>
      <c r="B98" s="150" t="s">
        <v>390</v>
      </c>
      <c r="C98" s="146">
        <v>4</v>
      </c>
      <c r="D98" s="146">
        <v>7</v>
      </c>
      <c r="E98" s="146" t="s">
        <v>534</v>
      </c>
      <c r="F98" s="146">
        <v>59</v>
      </c>
      <c r="G98" s="147">
        <v>436.24</v>
      </c>
      <c r="H98" s="147">
        <v>514.76</v>
      </c>
      <c r="I98" s="147">
        <v>1702.07</v>
      </c>
      <c r="J98" s="147">
        <v>289.55</v>
      </c>
      <c r="K98" s="147">
        <v>2506.38</v>
      </c>
      <c r="L98" s="147">
        <v>1286.9100000000001</v>
      </c>
      <c r="M98" s="146" t="s">
        <v>21</v>
      </c>
      <c r="N98" s="146" t="s">
        <v>21</v>
      </c>
      <c r="O98" s="146" t="s">
        <v>21</v>
      </c>
      <c r="P98" s="147">
        <v>0</v>
      </c>
      <c r="Q98" s="147">
        <v>1286.9100000000001</v>
      </c>
      <c r="R98" s="147">
        <v>3793.29</v>
      </c>
    </row>
    <row r="99" spans="1:18" x14ac:dyDescent="0.25">
      <c r="A99" s="146" t="s">
        <v>96</v>
      </c>
      <c r="B99" s="150" t="s">
        <v>391</v>
      </c>
      <c r="C99" s="146">
        <v>1</v>
      </c>
      <c r="D99" s="146">
        <v>7</v>
      </c>
      <c r="E99" s="146" t="s">
        <v>534</v>
      </c>
      <c r="F99" s="146">
        <v>59</v>
      </c>
      <c r="G99" s="147">
        <v>330.57</v>
      </c>
      <c r="H99" s="147">
        <v>390.07</v>
      </c>
      <c r="I99" s="147">
        <v>1175.28</v>
      </c>
      <c r="J99" s="147">
        <v>219.42</v>
      </c>
      <c r="K99" s="147">
        <v>1784.77</v>
      </c>
      <c r="L99" s="147">
        <v>975.18</v>
      </c>
      <c r="M99" s="146" t="s">
        <v>21</v>
      </c>
      <c r="N99" s="146" t="s">
        <v>21</v>
      </c>
      <c r="O99" s="146" t="s">
        <v>21</v>
      </c>
      <c r="P99" s="147">
        <v>0</v>
      </c>
      <c r="Q99" s="147">
        <v>975.18</v>
      </c>
      <c r="R99" s="147">
        <v>2759.95</v>
      </c>
    </row>
    <row r="100" spans="1:18" x14ac:dyDescent="0.25">
      <c r="A100" s="146" t="s">
        <v>97</v>
      </c>
      <c r="B100" s="150" t="s">
        <v>392</v>
      </c>
      <c r="C100" s="146">
        <v>4</v>
      </c>
      <c r="D100" s="146">
        <v>7</v>
      </c>
      <c r="E100" s="146" t="s">
        <v>534</v>
      </c>
      <c r="F100" s="146">
        <v>59</v>
      </c>
      <c r="G100" s="147">
        <v>552.76</v>
      </c>
      <c r="H100" s="147">
        <v>652.26</v>
      </c>
      <c r="I100" s="147">
        <v>2450.1999999999998</v>
      </c>
      <c r="J100" s="147">
        <v>366.89</v>
      </c>
      <c r="K100" s="147">
        <v>3469.35</v>
      </c>
      <c r="L100" s="147">
        <v>1630.64</v>
      </c>
      <c r="M100" s="146" t="s">
        <v>21</v>
      </c>
      <c r="N100" s="146" t="s">
        <v>21</v>
      </c>
      <c r="O100" s="146" t="s">
        <v>21</v>
      </c>
      <c r="P100" s="147">
        <v>0</v>
      </c>
      <c r="Q100" s="147">
        <v>1630.64</v>
      </c>
      <c r="R100" s="147">
        <v>5099.99</v>
      </c>
    </row>
    <row r="101" spans="1:18" x14ac:dyDescent="0.25">
      <c r="A101" s="146" t="s">
        <v>98</v>
      </c>
      <c r="B101" s="150" t="s">
        <v>393</v>
      </c>
      <c r="C101" s="146">
        <v>4</v>
      </c>
      <c r="D101" s="146">
        <v>7</v>
      </c>
      <c r="E101" s="146" t="s">
        <v>534</v>
      </c>
      <c r="F101" s="146">
        <v>59</v>
      </c>
      <c r="G101" s="147">
        <v>480.46</v>
      </c>
      <c r="H101" s="147">
        <v>566.94000000000005</v>
      </c>
      <c r="I101" s="147">
        <v>2129.7199999999998</v>
      </c>
      <c r="J101" s="147">
        <v>318.91000000000003</v>
      </c>
      <c r="K101" s="147">
        <v>3015.57</v>
      </c>
      <c r="L101" s="147">
        <v>1417.36</v>
      </c>
      <c r="M101" s="146" t="s">
        <v>21</v>
      </c>
      <c r="N101" s="146" t="s">
        <v>21</v>
      </c>
      <c r="O101" s="146" t="s">
        <v>21</v>
      </c>
      <c r="P101" s="147">
        <v>0</v>
      </c>
      <c r="Q101" s="147">
        <v>1417.36</v>
      </c>
      <c r="R101" s="147">
        <v>4432.93</v>
      </c>
    </row>
    <row r="102" spans="1:18" x14ac:dyDescent="0.25">
      <c r="A102" s="146" t="s">
        <v>99</v>
      </c>
      <c r="B102" s="150" t="s">
        <v>394</v>
      </c>
      <c r="C102" s="146">
        <v>4</v>
      </c>
      <c r="D102" s="146">
        <v>7</v>
      </c>
      <c r="E102" s="146" t="s">
        <v>534</v>
      </c>
      <c r="F102" s="146">
        <v>59</v>
      </c>
      <c r="G102" s="147">
        <v>676.72</v>
      </c>
      <c r="H102" s="147">
        <v>798.53</v>
      </c>
      <c r="I102" s="147">
        <v>2999.68</v>
      </c>
      <c r="J102" s="147">
        <v>449.17</v>
      </c>
      <c r="K102" s="147">
        <v>4247.38</v>
      </c>
      <c r="L102" s="147">
        <v>1996.32</v>
      </c>
      <c r="M102" s="146" t="s">
        <v>21</v>
      </c>
      <c r="N102" s="146" t="s">
        <v>21</v>
      </c>
      <c r="O102" s="146" t="s">
        <v>21</v>
      </c>
      <c r="P102" s="147">
        <v>0</v>
      </c>
      <c r="Q102" s="147">
        <v>1996.32</v>
      </c>
      <c r="R102" s="147">
        <v>6243.7</v>
      </c>
    </row>
    <row r="103" spans="1:18" x14ac:dyDescent="0.25">
      <c r="A103" s="146" t="s">
        <v>395</v>
      </c>
      <c r="B103" s="150" t="s">
        <v>396</v>
      </c>
      <c r="C103" s="146">
        <v>1</v>
      </c>
      <c r="D103" s="146">
        <v>7</v>
      </c>
      <c r="E103" s="146" t="s">
        <v>534</v>
      </c>
      <c r="F103" s="146">
        <v>59</v>
      </c>
      <c r="G103" s="147">
        <v>330.57</v>
      </c>
      <c r="H103" s="147">
        <v>390.07</v>
      </c>
      <c r="I103" s="147">
        <v>1175.28</v>
      </c>
      <c r="J103" s="147">
        <v>219.42</v>
      </c>
      <c r="K103" s="147">
        <v>1784.77</v>
      </c>
      <c r="L103" s="147">
        <v>975.18</v>
      </c>
      <c r="M103" s="146" t="s">
        <v>21</v>
      </c>
      <c r="N103" s="146" t="s">
        <v>21</v>
      </c>
      <c r="O103" s="146" t="s">
        <v>21</v>
      </c>
      <c r="P103" s="147">
        <v>0</v>
      </c>
      <c r="Q103" s="147">
        <v>975.18</v>
      </c>
      <c r="R103" s="147">
        <v>2759.95</v>
      </c>
    </row>
    <row r="104" spans="1:18" x14ac:dyDescent="0.25">
      <c r="A104" s="146" t="s">
        <v>100</v>
      </c>
      <c r="B104" s="150" t="s">
        <v>397</v>
      </c>
      <c r="C104" s="146">
        <v>4</v>
      </c>
      <c r="D104" s="146">
        <v>7</v>
      </c>
      <c r="E104" s="146" t="s">
        <v>534</v>
      </c>
      <c r="F104" s="146">
        <v>59</v>
      </c>
      <c r="G104" s="147">
        <v>685.89</v>
      </c>
      <c r="H104" s="147">
        <v>809.35</v>
      </c>
      <c r="I104" s="147">
        <v>3040.33</v>
      </c>
      <c r="J104" s="147">
        <v>455.26</v>
      </c>
      <c r="K104" s="147">
        <v>4304.9399999999996</v>
      </c>
      <c r="L104" s="147">
        <v>2023.38</v>
      </c>
      <c r="M104" s="146" t="s">
        <v>21</v>
      </c>
      <c r="N104" s="146" t="s">
        <v>21</v>
      </c>
      <c r="O104" s="146" t="s">
        <v>21</v>
      </c>
      <c r="P104" s="147">
        <v>0</v>
      </c>
      <c r="Q104" s="147">
        <v>2023.38</v>
      </c>
      <c r="R104" s="147">
        <v>6328.32</v>
      </c>
    </row>
    <row r="105" spans="1:18" x14ac:dyDescent="0.25">
      <c r="A105" s="146" t="s">
        <v>101</v>
      </c>
      <c r="B105" s="150" t="s">
        <v>398</v>
      </c>
      <c r="C105" s="146">
        <v>4</v>
      </c>
      <c r="D105" s="146">
        <v>7</v>
      </c>
      <c r="E105" s="146" t="s">
        <v>534</v>
      </c>
      <c r="F105" s="146">
        <v>59</v>
      </c>
      <c r="G105" s="147">
        <v>1142.6500000000001</v>
      </c>
      <c r="H105" s="147">
        <v>1348.33</v>
      </c>
      <c r="I105" s="147">
        <v>5064.99</v>
      </c>
      <c r="J105" s="147">
        <v>758.43</v>
      </c>
      <c r="K105" s="147">
        <v>7171.75</v>
      </c>
      <c r="L105" s="147">
        <v>3370.82</v>
      </c>
      <c r="M105" s="146" t="s">
        <v>21</v>
      </c>
      <c r="N105" s="146" t="s">
        <v>21</v>
      </c>
      <c r="O105" s="146" t="s">
        <v>21</v>
      </c>
      <c r="P105" s="147">
        <v>0</v>
      </c>
      <c r="Q105" s="147">
        <v>3370.82</v>
      </c>
      <c r="R105" s="147">
        <v>10542.57</v>
      </c>
    </row>
    <row r="106" spans="1:18" x14ac:dyDescent="0.25">
      <c r="A106" s="146" t="s">
        <v>399</v>
      </c>
      <c r="B106" s="150" t="s">
        <v>400</v>
      </c>
      <c r="C106" s="146">
        <v>4</v>
      </c>
      <c r="D106" s="146">
        <v>8</v>
      </c>
      <c r="E106" s="146" t="s">
        <v>538</v>
      </c>
      <c r="F106" s="146">
        <v>33</v>
      </c>
      <c r="G106" s="147">
        <v>719.88</v>
      </c>
      <c r="H106" s="147">
        <v>475.12</v>
      </c>
      <c r="I106" s="147">
        <v>1784.79</v>
      </c>
      <c r="J106" s="147">
        <v>267.26</v>
      </c>
      <c r="K106" s="147">
        <v>2527.17</v>
      </c>
      <c r="L106" s="147">
        <v>1187.8</v>
      </c>
      <c r="M106" s="146" t="s">
        <v>21</v>
      </c>
      <c r="N106" s="146" t="s">
        <v>21</v>
      </c>
      <c r="O106" s="146" t="s">
        <v>21</v>
      </c>
      <c r="P106" s="147">
        <v>0</v>
      </c>
      <c r="Q106" s="147">
        <v>1187.8</v>
      </c>
      <c r="R106" s="147">
        <v>3714.97</v>
      </c>
    </row>
    <row r="107" spans="1:18" x14ac:dyDescent="0.25">
      <c r="A107" s="146" t="s">
        <v>102</v>
      </c>
      <c r="B107" s="150" t="s">
        <v>401</v>
      </c>
      <c r="C107" s="146">
        <v>1</v>
      </c>
      <c r="D107" s="146">
        <v>7</v>
      </c>
      <c r="E107" s="146" t="s">
        <v>534</v>
      </c>
      <c r="F107" s="146">
        <v>59</v>
      </c>
      <c r="G107" s="147">
        <v>330.57</v>
      </c>
      <c r="H107" s="147">
        <v>390.07</v>
      </c>
      <c r="I107" s="147">
        <v>1175.28</v>
      </c>
      <c r="J107" s="147">
        <v>219.42</v>
      </c>
      <c r="K107" s="147">
        <v>1784.77</v>
      </c>
      <c r="L107" s="147">
        <v>975.18</v>
      </c>
      <c r="M107" s="146" t="s">
        <v>21</v>
      </c>
      <c r="N107" s="146" t="s">
        <v>21</v>
      </c>
      <c r="O107" s="146" t="s">
        <v>21</v>
      </c>
      <c r="P107" s="147">
        <v>0</v>
      </c>
      <c r="Q107" s="147">
        <v>975.18</v>
      </c>
      <c r="R107" s="147">
        <v>2759.95</v>
      </c>
    </row>
    <row r="108" spans="1:18" x14ac:dyDescent="0.25">
      <c r="A108" s="146" t="s">
        <v>103</v>
      </c>
      <c r="B108" s="150" t="s">
        <v>402</v>
      </c>
      <c r="C108" s="146">
        <v>4</v>
      </c>
      <c r="D108" s="146">
        <v>7</v>
      </c>
      <c r="E108" s="146" t="s">
        <v>534</v>
      </c>
      <c r="F108" s="146">
        <v>59</v>
      </c>
      <c r="G108" s="147">
        <v>489.76</v>
      </c>
      <c r="H108" s="147">
        <v>577.91999999999996</v>
      </c>
      <c r="I108" s="147">
        <v>2170.9499999999998</v>
      </c>
      <c r="J108" s="147">
        <v>325.08</v>
      </c>
      <c r="K108" s="147">
        <v>3073.95</v>
      </c>
      <c r="L108" s="147">
        <v>1444.79</v>
      </c>
      <c r="M108" s="146" t="s">
        <v>21</v>
      </c>
      <c r="N108" s="146" t="s">
        <v>21</v>
      </c>
      <c r="O108" s="146" t="s">
        <v>21</v>
      </c>
      <c r="P108" s="147">
        <v>0</v>
      </c>
      <c r="Q108" s="147">
        <v>1444.79</v>
      </c>
      <c r="R108" s="147">
        <v>4518.74</v>
      </c>
    </row>
    <row r="109" spans="1:18" x14ac:dyDescent="0.25">
      <c r="A109" s="146" t="s">
        <v>104</v>
      </c>
      <c r="B109" s="150" t="s">
        <v>403</v>
      </c>
      <c r="C109" s="146">
        <v>1</v>
      </c>
      <c r="D109" s="146">
        <v>7</v>
      </c>
      <c r="E109" s="146" t="s">
        <v>534</v>
      </c>
      <c r="F109" s="146">
        <v>59</v>
      </c>
      <c r="G109" s="147">
        <v>330.57</v>
      </c>
      <c r="H109" s="147">
        <v>390.07</v>
      </c>
      <c r="I109" s="147">
        <v>1175.28</v>
      </c>
      <c r="J109" s="147">
        <v>219.42</v>
      </c>
      <c r="K109" s="147">
        <v>1784.77</v>
      </c>
      <c r="L109" s="147">
        <v>975.18</v>
      </c>
      <c r="M109" s="146" t="s">
        <v>21</v>
      </c>
      <c r="N109" s="146" t="s">
        <v>21</v>
      </c>
      <c r="O109" s="146" t="s">
        <v>21</v>
      </c>
      <c r="P109" s="147">
        <v>0</v>
      </c>
      <c r="Q109" s="147">
        <v>975.18</v>
      </c>
      <c r="R109" s="147">
        <v>2759.95</v>
      </c>
    </row>
    <row r="110" spans="1:18" x14ac:dyDescent="0.25">
      <c r="A110" s="146" t="s">
        <v>105</v>
      </c>
      <c r="B110" s="150" t="s">
        <v>404</v>
      </c>
      <c r="C110" s="146">
        <v>4</v>
      </c>
      <c r="D110" s="146">
        <v>7</v>
      </c>
      <c r="E110" s="146" t="s">
        <v>534</v>
      </c>
      <c r="F110" s="146">
        <v>59</v>
      </c>
      <c r="G110" s="147">
        <v>752.25</v>
      </c>
      <c r="H110" s="147">
        <v>887.66</v>
      </c>
      <c r="I110" s="147">
        <v>3334.47</v>
      </c>
      <c r="J110" s="147">
        <v>499.31</v>
      </c>
      <c r="K110" s="147">
        <v>4721.4399999999996</v>
      </c>
      <c r="L110" s="147">
        <v>2219.14</v>
      </c>
      <c r="M110" s="146" t="s">
        <v>21</v>
      </c>
      <c r="N110" s="146" t="s">
        <v>21</v>
      </c>
      <c r="O110" s="146" t="s">
        <v>21</v>
      </c>
      <c r="P110" s="147">
        <v>0</v>
      </c>
      <c r="Q110" s="147">
        <v>2219.14</v>
      </c>
      <c r="R110" s="147">
        <v>6940.58</v>
      </c>
    </row>
    <row r="111" spans="1:18" x14ac:dyDescent="0.25">
      <c r="A111" s="146" t="s">
        <v>106</v>
      </c>
      <c r="B111" s="150" t="s">
        <v>405</v>
      </c>
      <c r="C111" s="146">
        <v>4</v>
      </c>
      <c r="D111" s="146">
        <v>7</v>
      </c>
      <c r="E111" s="146" t="s">
        <v>534</v>
      </c>
      <c r="F111" s="146">
        <v>59</v>
      </c>
      <c r="G111" s="147">
        <v>948.27</v>
      </c>
      <c r="H111" s="147">
        <v>1118.96</v>
      </c>
      <c r="I111" s="147">
        <v>4203.37</v>
      </c>
      <c r="J111" s="147">
        <v>629.41</v>
      </c>
      <c r="K111" s="147">
        <v>5951.74</v>
      </c>
      <c r="L111" s="147">
        <v>2797.4</v>
      </c>
      <c r="M111" s="146" t="s">
        <v>21</v>
      </c>
      <c r="N111" s="146" t="s">
        <v>21</v>
      </c>
      <c r="O111" s="146" t="s">
        <v>21</v>
      </c>
      <c r="P111" s="147">
        <v>0</v>
      </c>
      <c r="Q111" s="147">
        <v>2797.4</v>
      </c>
      <c r="R111" s="147">
        <v>8749.14</v>
      </c>
    </row>
    <row r="112" spans="1:18" x14ac:dyDescent="0.25">
      <c r="A112" s="146" t="s">
        <v>107</v>
      </c>
      <c r="B112" s="150" t="s">
        <v>406</v>
      </c>
      <c r="C112" s="146">
        <v>4</v>
      </c>
      <c r="D112" s="146">
        <v>7</v>
      </c>
      <c r="E112" s="146" t="s">
        <v>534</v>
      </c>
      <c r="F112" s="146">
        <v>59</v>
      </c>
      <c r="G112" s="147">
        <v>459.18</v>
      </c>
      <c r="H112" s="147">
        <v>541.83000000000004</v>
      </c>
      <c r="I112" s="147">
        <v>1919.68</v>
      </c>
      <c r="J112" s="147">
        <v>304.77999999999997</v>
      </c>
      <c r="K112" s="147">
        <v>2766.29</v>
      </c>
      <c r="L112" s="147">
        <v>1354.58</v>
      </c>
      <c r="M112" s="146" t="s">
        <v>208</v>
      </c>
      <c r="N112" s="146" t="s">
        <v>209</v>
      </c>
      <c r="O112" s="146" t="s">
        <v>210</v>
      </c>
      <c r="P112" s="147">
        <v>4912.71</v>
      </c>
      <c r="Q112" s="147">
        <v>6267.29</v>
      </c>
      <c r="R112" s="147">
        <v>9033.58</v>
      </c>
    </row>
    <row r="113" spans="1:18" x14ac:dyDescent="0.25">
      <c r="A113" s="146" t="s">
        <v>108</v>
      </c>
      <c r="B113" s="150" t="s">
        <v>407</v>
      </c>
      <c r="C113" s="146">
        <v>4</v>
      </c>
      <c r="D113" s="146">
        <v>7</v>
      </c>
      <c r="E113" s="146" t="s">
        <v>534</v>
      </c>
      <c r="F113" s="146">
        <v>59</v>
      </c>
      <c r="G113" s="147">
        <v>547.96</v>
      </c>
      <c r="H113" s="147">
        <v>646.59</v>
      </c>
      <c r="I113" s="147">
        <v>2428.9299999999998</v>
      </c>
      <c r="J113" s="147">
        <v>363.71</v>
      </c>
      <c r="K113" s="147">
        <v>3439.23</v>
      </c>
      <c r="L113" s="147">
        <v>1616.48</v>
      </c>
      <c r="M113" s="146" t="s">
        <v>21</v>
      </c>
      <c r="N113" s="146" t="s">
        <v>21</v>
      </c>
      <c r="O113" s="146" t="s">
        <v>21</v>
      </c>
      <c r="P113" s="147">
        <v>0</v>
      </c>
      <c r="Q113" s="147">
        <v>1616.48</v>
      </c>
      <c r="R113" s="147">
        <v>5055.71</v>
      </c>
    </row>
    <row r="114" spans="1:18" x14ac:dyDescent="0.25">
      <c r="A114" s="146" t="s">
        <v>109</v>
      </c>
      <c r="B114" s="150" t="s">
        <v>408</v>
      </c>
      <c r="C114" s="146">
        <v>4</v>
      </c>
      <c r="D114" s="146">
        <v>9</v>
      </c>
      <c r="E114" s="146" t="s">
        <v>21</v>
      </c>
      <c r="F114" s="146">
        <v>59</v>
      </c>
      <c r="G114" s="147">
        <v>1989.46</v>
      </c>
      <c r="H114" s="147">
        <v>2347.56</v>
      </c>
      <c r="I114" s="147">
        <v>8818.6200000000008</v>
      </c>
      <c r="J114" s="147">
        <v>1320.5</v>
      </c>
      <c r="K114" s="147">
        <v>12486.68</v>
      </c>
      <c r="L114" s="147">
        <v>5868.91</v>
      </c>
      <c r="M114" s="146" t="s">
        <v>21</v>
      </c>
      <c r="N114" s="146" t="s">
        <v>21</v>
      </c>
      <c r="O114" s="146" t="s">
        <v>21</v>
      </c>
      <c r="P114" s="147">
        <v>0</v>
      </c>
      <c r="Q114" s="147">
        <v>5868.91</v>
      </c>
      <c r="R114" s="147">
        <v>18355.59</v>
      </c>
    </row>
    <row r="115" spans="1:18" x14ac:dyDescent="0.25">
      <c r="A115" s="146" t="s">
        <v>110</v>
      </c>
      <c r="B115" s="150" t="s">
        <v>409</v>
      </c>
      <c r="C115" s="146">
        <v>4</v>
      </c>
      <c r="D115" s="146">
        <v>7</v>
      </c>
      <c r="E115" s="146" t="s">
        <v>534</v>
      </c>
      <c r="F115" s="146">
        <v>59</v>
      </c>
      <c r="G115" s="147">
        <v>417.46</v>
      </c>
      <c r="H115" s="147">
        <v>492.6</v>
      </c>
      <c r="I115" s="147">
        <v>1628.8</v>
      </c>
      <c r="J115" s="147">
        <v>277.08999999999997</v>
      </c>
      <c r="K115" s="147">
        <v>2398.4899999999998</v>
      </c>
      <c r="L115" s="147">
        <v>1231.51</v>
      </c>
      <c r="M115" s="146" t="s">
        <v>21</v>
      </c>
      <c r="N115" s="146" t="s">
        <v>21</v>
      </c>
      <c r="O115" s="146" t="s">
        <v>21</v>
      </c>
      <c r="P115" s="147">
        <v>0</v>
      </c>
      <c r="Q115" s="147">
        <v>1231.51</v>
      </c>
      <c r="R115" s="147">
        <v>3630</v>
      </c>
    </row>
    <row r="116" spans="1:18" x14ac:dyDescent="0.25">
      <c r="A116" s="146" t="s">
        <v>111</v>
      </c>
      <c r="B116" s="150" t="s">
        <v>410</v>
      </c>
      <c r="C116" s="146">
        <v>4</v>
      </c>
      <c r="D116" s="146">
        <v>7</v>
      </c>
      <c r="E116" s="146" t="s">
        <v>534</v>
      </c>
      <c r="F116" s="146">
        <v>59</v>
      </c>
      <c r="G116" s="147">
        <v>639.29999999999995</v>
      </c>
      <c r="H116" s="147">
        <v>754.37</v>
      </c>
      <c r="I116" s="147">
        <v>2833.81</v>
      </c>
      <c r="J116" s="147">
        <v>424.34</v>
      </c>
      <c r="K116" s="147">
        <v>4012.52</v>
      </c>
      <c r="L116" s="147">
        <v>1885.94</v>
      </c>
      <c r="M116" s="146" t="s">
        <v>21</v>
      </c>
      <c r="N116" s="146" t="s">
        <v>21</v>
      </c>
      <c r="O116" s="146" t="s">
        <v>21</v>
      </c>
      <c r="P116" s="147">
        <v>0</v>
      </c>
      <c r="Q116" s="147">
        <v>1885.94</v>
      </c>
      <c r="R116" s="147">
        <v>5898.46</v>
      </c>
    </row>
    <row r="117" spans="1:18" x14ac:dyDescent="0.25">
      <c r="A117" s="146" t="s">
        <v>112</v>
      </c>
      <c r="B117" s="150" t="s">
        <v>411</v>
      </c>
      <c r="C117" s="146">
        <v>4</v>
      </c>
      <c r="D117" s="146">
        <v>7</v>
      </c>
      <c r="E117" s="146" t="s">
        <v>534</v>
      </c>
      <c r="F117" s="146">
        <v>59</v>
      </c>
      <c r="G117" s="147">
        <v>685.17</v>
      </c>
      <c r="H117" s="147">
        <v>808.5</v>
      </c>
      <c r="I117" s="147">
        <v>3037.13</v>
      </c>
      <c r="J117" s="147">
        <v>454.78</v>
      </c>
      <c r="K117" s="147">
        <v>4300.41</v>
      </c>
      <c r="L117" s="147">
        <v>2021.25</v>
      </c>
      <c r="M117" s="146" t="s">
        <v>21</v>
      </c>
      <c r="N117" s="146" t="s">
        <v>21</v>
      </c>
      <c r="O117" s="146" t="s">
        <v>21</v>
      </c>
      <c r="P117" s="147">
        <v>0</v>
      </c>
      <c r="Q117" s="147">
        <v>2021.25</v>
      </c>
      <c r="R117" s="147">
        <v>6321.66</v>
      </c>
    </row>
    <row r="118" spans="1:18" x14ac:dyDescent="0.25">
      <c r="A118" s="146" t="s">
        <v>113</v>
      </c>
      <c r="B118" s="150" t="s">
        <v>412</v>
      </c>
      <c r="C118" s="146">
        <v>4</v>
      </c>
      <c r="D118" s="146">
        <v>7</v>
      </c>
      <c r="E118" s="146" t="s">
        <v>534</v>
      </c>
      <c r="F118" s="146">
        <v>59</v>
      </c>
      <c r="G118" s="147">
        <v>565.54999999999995</v>
      </c>
      <c r="H118" s="147">
        <v>667.35</v>
      </c>
      <c r="I118" s="147">
        <v>2506.89</v>
      </c>
      <c r="J118" s="147">
        <v>375.38</v>
      </c>
      <c r="K118" s="147">
        <v>3549.62</v>
      </c>
      <c r="L118" s="147">
        <v>1668.37</v>
      </c>
      <c r="M118" s="146" t="s">
        <v>21</v>
      </c>
      <c r="N118" s="146" t="s">
        <v>21</v>
      </c>
      <c r="O118" s="146" t="s">
        <v>21</v>
      </c>
      <c r="P118" s="147">
        <v>0</v>
      </c>
      <c r="Q118" s="147">
        <v>1668.37</v>
      </c>
      <c r="R118" s="147">
        <v>5217.99</v>
      </c>
    </row>
    <row r="119" spans="1:18" x14ac:dyDescent="0.25">
      <c r="A119" s="146" t="s">
        <v>114</v>
      </c>
      <c r="B119" s="150" t="s">
        <v>413</v>
      </c>
      <c r="C119" s="146">
        <v>1</v>
      </c>
      <c r="D119" s="146">
        <v>7</v>
      </c>
      <c r="E119" s="146" t="s">
        <v>534</v>
      </c>
      <c r="F119" s="146">
        <v>59</v>
      </c>
      <c r="G119" s="147">
        <v>330.57</v>
      </c>
      <c r="H119" s="147">
        <v>390.07</v>
      </c>
      <c r="I119" s="147">
        <v>1175.28</v>
      </c>
      <c r="J119" s="147">
        <v>219.42</v>
      </c>
      <c r="K119" s="147">
        <v>1784.77</v>
      </c>
      <c r="L119" s="147">
        <v>975.18</v>
      </c>
      <c r="M119" s="146" t="s">
        <v>21</v>
      </c>
      <c r="N119" s="146" t="s">
        <v>21</v>
      </c>
      <c r="O119" s="146" t="s">
        <v>21</v>
      </c>
      <c r="P119" s="147">
        <v>0</v>
      </c>
      <c r="Q119" s="147">
        <v>975.18</v>
      </c>
      <c r="R119" s="147">
        <v>2759.95</v>
      </c>
    </row>
    <row r="120" spans="1:18" x14ac:dyDescent="0.25">
      <c r="A120" s="146" t="s">
        <v>115</v>
      </c>
      <c r="B120" s="150" t="s">
        <v>414</v>
      </c>
      <c r="C120" s="146">
        <v>1</v>
      </c>
      <c r="D120" s="146">
        <v>7</v>
      </c>
      <c r="E120" s="146" t="s">
        <v>534</v>
      </c>
      <c r="F120" s="146">
        <v>59</v>
      </c>
      <c r="G120" s="147">
        <v>330.57</v>
      </c>
      <c r="H120" s="147">
        <v>390.07</v>
      </c>
      <c r="I120" s="147">
        <v>1175.28</v>
      </c>
      <c r="J120" s="147">
        <v>219.42</v>
      </c>
      <c r="K120" s="147">
        <v>1784.77</v>
      </c>
      <c r="L120" s="147">
        <v>975.18</v>
      </c>
      <c r="M120" s="146" t="s">
        <v>21</v>
      </c>
      <c r="N120" s="146" t="s">
        <v>21</v>
      </c>
      <c r="O120" s="146" t="s">
        <v>21</v>
      </c>
      <c r="P120" s="147">
        <v>0</v>
      </c>
      <c r="Q120" s="147">
        <v>975.18</v>
      </c>
      <c r="R120" s="147">
        <v>2759.95</v>
      </c>
    </row>
    <row r="121" spans="1:18" x14ac:dyDescent="0.25">
      <c r="A121" s="146" t="s">
        <v>415</v>
      </c>
      <c r="B121" s="150" t="s">
        <v>416</v>
      </c>
      <c r="C121" s="146">
        <v>1</v>
      </c>
      <c r="D121" s="146">
        <v>7</v>
      </c>
      <c r="E121" s="146" t="s">
        <v>534</v>
      </c>
      <c r="F121" s="146">
        <v>59</v>
      </c>
      <c r="G121" s="147">
        <v>330.57</v>
      </c>
      <c r="H121" s="147">
        <v>390.07</v>
      </c>
      <c r="I121" s="147">
        <v>1175.28</v>
      </c>
      <c r="J121" s="147">
        <v>219.42</v>
      </c>
      <c r="K121" s="147">
        <v>1784.77</v>
      </c>
      <c r="L121" s="147">
        <v>975.18</v>
      </c>
      <c r="M121" s="146" t="s">
        <v>21</v>
      </c>
      <c r="N121" s="146" t="s">
        <v>21</v>
      </c>
      <c r="O121" s="146" t="s">
        <v>21</v>
      </c>
      <c r="P121" s="147">
        <v>0</v>
      </c>
      <c r="Q121" s="147">
        <v>975.18</v>
      </c>
      <c r="R121" s="147">
        <v>2759.95</v>
      </c>
    </row>
    <row r="122" spans="1:18" x14ac:dyDescent="0.25">
      <c r="A122" s="146" t="s">
        <v>417</v>
      </c>
      <c r="B122" s="150" t="s">
        <v>418</v>
      </c>
      <c r="C122" s="146">
        <v>4</v>
      </c>
      <c r="D122" s="146">
        <v>7</v>
      </c>
      <c r="E122" s="146" t="s">
        <v>534</v>
      </c>
      <c r="F122" s="146">
        <v>59</v>
      </c>
      <c r="G122" s="147">
        <v>356.97</v>
      </c>
      <c r="H122" s="147">
        <v>421.22</v>
      </c>
      <c r="I122" s="147">
        <v>1339.7</v>
      </c>
      <c r="J122" s="147">
        <v>236.94</v>
      </c>
      <c r="K122" s="147">
        <v>1997.86</v>
      </c>
      <c r="L122" s="147">
        <v>1053.06</v>
      </c>
      <c r="M122" s="146" t="s">
        <v>21</v>
      </c>
      <c r="N122" s="146" t="s">
        <v>21</v>
      </c>
      <c r="O122" s="146" t="s">
        <v>21</v>
      </c>
      <c r="P122" s="147">
        <v>0</v>
      </c>
      <c r="Q122" s="147">
        <v>1053.06</v>
      </c>
      <c r="R122" s="147">
        <v>3050.92</v>
      </c>
    </row>
    <row r="123" spans="1:18" x14ac:dyDescent="0.25">
      <c r="A123" s="146" t="s">
        <v>116</v>
      </c>
      <c r="B123" s="150" t="s">
        <v>419</v>
      </c>
      <c r="C123" s="146">
        <v>4</v>
      </c>
      <c r="D123" s="146">
        <v>7</v>
      </c>
      <c r="E123" s="146" t="s">
        <v>534</v>
      </c>
      <c r="F123" s="146">
        <v>59</v>
      </c>
      <c r="G123" s="147">
        <v>357.16</v>
      </c>
      <c r="H123" s="147">
        <v>421.45</v>
      </c>
      <c r="I123" s="147">
        <v>1340.42</v>
      </c>
      <c r="J123" s="147">
        <v>237.06</v>
      </c>
      <c r="K123" s="147">
        <v>1998.93</v>
      </c>
      <c r="L123" s="147">
        <v>1053.6199999999999</v>
      </c>
      <c r="M123" s="146" t="s">
        <v>21</v>
      </c>
      <c r="N123" s="146" t="s">
        <v>21</v>
      </c>
      <c r="O123" s="146" t="s">
        <v>21</v>
      </c>
      <c r="P123" s="147">
        <v>0</v>
      </c>
      <c r="Q123" s="147">
        <v>1053.6199999999999</v>
      </c>
      <c r="R123" s="147">
        <v>3052.55</v>
      </c>
    </row>
    <row r="124" spans="1:18" x14ac:dyDescent="0.25">
      <c r="A124" s="146" t="s">
        <v>117</v>
      </c>
      <c r="B124" s="150" t="s">
        <v>420</v>
      </c>
      <c r="C124" s="146">
        <v>4</v>
      </c>
      <c r="D124" s="146">
        <v>7</v>
      </c>
      <c r="E124" s="146" t="s">
        <v>534</v>
      </c>
      <c r="F124" s="146">
        <v>59</v>
      </c>
      <c r="G124" s="147">
        <v>436.24</v>
      </c>
      <c r="H124" s="147">
        <v>514.76</v>
      </c>
      <c r="I124" s="147">
        <v>1702.07</v>
      </c>
      <c r="J124" s="147">
        <v>289.55</v>
      </c>
      <c r="K124" s="147">
        <v>2506.38</v>
      </c>
      <c r="L124" s="147">
        <v>1286.9100000000001</v>
      </c>
      <c r="M124" s="146" t="s">
        <v>21</v>
      </c>
      <c r="N124" s="146" t="s">
        <v>21</v>
      </c>
      <c r="O124" s="146" t="s">
        <v>21</v>
      </c>
      <c r="P124" s="147">
        <v>0</v>
      </c>
      <c r="Q124" s="147">
        <v>1286.9100000000001</v>
      </c>
      <c r="R124" s="147">
        <v>3793.29</v>
      </c>
    </row>
    <row r="125" spans="1:18" x14ac:dyDescent="0.25">
      <c r="A125" s="146" t="s">
        <v>118</v>
      </c>
      <c r="B125" s="150" t="s">
        <v>421</v>
      </c>
      <c r="C125" s="146">
        <v>4</v>
      </c>
      <c r="D125" s="146">
        <v>7</v>
      </c>
      <c r="E125" s="146" t="s">
        <v>534</v>
      </c>
      <c r="F125" s="146">
        <v>59</v>
      </c>
      <c r="G125" s="147">
        <v>756.05</v>
      </c>
      <c r="H125" s="147">
        <v>892.14</v>
      </c>
      <c r="I125" s="147">
        <v>3351.32</v>
      </c>
      <c r="J125" s="147">
        <v>501.83</v>
      </c>
      <c r="K125" s="147">
        <v>4745.29</v>
      </c>
      <c r="L125" s="147">
        <v>2230.35</v>
      </c>
      <c r="M125" s="146" t="s">
        <v>21</v>
      </c>
      <c r="N125" s="146" t="s">
        <v>21</v>
      </c>
      <c r="O125" s="146" t="s">
        <v>21</v>
      </c>
      <c r="P125" s="147">
        <v>0</v>
      </c>
      <c r="Q125" s="147">
        <v>2230.35</v>
      </c>
      <c r="R125" s="147">
        <v>6975.64</v>
      </c>
    </row>
    <row r="126" spans="1:18" x14ac:dyDescent="0.25">
      <c r="A126" s="146" t="s">
        <v>119</v>
      </c>
      <c r="B126" s="150" t="s">
        <v>422</v>
      </c>
      <c r="C126" s="146">
        <v>4</v>
      </c>
      <c r="D126" s="146">
        <v>7</v>
      </c>
      <c r="E126" s="146" t="s">
        <v>534</v>
      </c>
      <c r="F126" s="146">
        <v>59</v>
      </c>
      <c r="G126" s="147">
        <v>463.96</v>
      </c>
      <c r="H126" s="147">
        <v>547.47</v>
      </c>
      <c r="I126" s="147">
        <v>1939.67</v>
      </c>
      <c r="J126" s="147">
        <v>307.95</v>
      </c>
      <c r="K126" s="147">
        <v>2795.09</v>
      </c>
      <c r="L126" s="147">
        <v>1368.68</v>
      </c>
      <c r="M126" s="146" t="s">
        <v>21</v>
      </c>
      <c r="N126" s="146" t="s">
        <v>21</v>
      </c>
      <c r="O126" s="146" t="s">
        <v>21</v>
      </c>
      <c r="P126" s="147">
        <v>0</v>
      </c>
      <c r="Q126" s="147">
        <v>1368.68</v>
      </c>
      <c r="R126" s="147">
        <v>4163.7700000000004</v>
      </c>
    </row>
    <row r="127" spans="1:18" x14ac:dyDescent="0.25">
      <c r="A127" s="146" t="s">
        <v>120</v>
      </c>
      <c r="B127" s="150" t="s">
        <v>423</v>
      </c>
      <c r="C127" s="146">
        <v>1</v>
      </c>
      <c r="D127" s="146">
        <v>7</v>
      </c>
      <c r="E127" s="146" t="s">
        <v>534</v>
      </c>
      <c r="F127" s="146">
        <v>59</v>
      </c>
      <c r="G127" s="147">
        <v>330.57</v>
      </c>
      <c r="H127" s="147">
        <v>390.07</v>
      </c>
      <c r="I127" s="147">
        <v>1175.28</v>
      </c>
      <c r="J127" s="147">
        <v>219.42</v>
      </c>
      <c r="K127" s="147">
        <v>1784.77</v>
      </c>
      <c r="L127" s="147">
        <v>975.18</v>
      </c>
      <c r="M127" s="146" t="s">
        <v>21</v>
      </c>
      <c r="N127" s="146" t="s">
        <v>21</v>
      </c>
      <c r="O127" s="146" t="s">
        <v>21</v>
      </c>
      <c r="P127" s="147">
        <v>0</v>
      </c>
      <c r="Q127" s="147">
        <v>975.18</v>
      </c>
      <c r="R127" s="147">
        <v>2759.95</v>
      </c>
    </row>
    <row r="128" spans="1:18" x14ac:dyDescent="0.25">
      <c r="A128" s="146" t="s">
        <v>121</v>
      </c>
      <c r="B128" s="150" t="s">
        <v>424</v>
      </c>
      <c r="C128" s="146">
        <v>4</v>
      </c>
      <c r="D128" s="146">
        <v>7</v>
      </c>
      <c r="E128" s="146" t="s">
        <v>534</v>
      </c>
      <c r="F128" s="146">
        <v>59</v>
      </c>
      <c r="G128" s="147">
        <v>459.18</v>
      </c>
      <c r="H128" s="147">
        <v>541.83000000000004</v>
      </c>
      <c r="I128" s="147">
        <v>1919.68</v>
      </c>
      <c r="J128" s="147">
        <v>304.77999999999997</v>
      </c>
      <c r="K128" s="147">
        <v>2766.29</v>
      </c>
      <c r="L128" s="147">
        <v>1354.58</v>
      </c>
      <c r="M128" s="146" t="s">
        <v>21</v>
      </c>
      <c r="N128" s="146" t="s">
        <v>21</v>
      </c>
      <c r="O128" s="146" t="s">
        <v>21</v>
      </c>
      <c r="P128" s="147">
        <v>0</v>
      </c>
      <c r="Q128" s="147">
        <v>1354.58</v>
      </c>
      <c r="R128" s="147">
        <v>4120.87</v>
      </c>
    </row>
    <row r="129" spans="1:18" x14ac:dyDescent="0.25">
      <c r="A129" s="146" t="s">
        <v>122</v>
      </c>
      <c r="B129" s="150" t="s">
        <v>425</v>
      </c>
      <c r="C129" s="146">
        <v>4</v>
      </c>
      <c r="D129" s="146">
        <v>7</v>
      </c>
      <c r="E129" s="146" t="s">
        <v>534</v>
      </c>
      <c r="F129" s="146">
        <v>59</v>
      </c>
      <c r="G129" s="147">
        <v>681.37</v>
      </c>
      <c r="H129" s="147">
        <v>804.02</v>
      </c>
      <c r="I129" s="147">
        <v>3020.29</v>
      </c>
      <c r="J129" s="147">
        <v>452.26</v>
      </c>
      <c r="K129" s="147">
        <v>4276.57</v>
      </c>
      <c r="L129" s="147">
        <v>2010.04</v>
      </c>
      <c r="M129" s="146" t="s">
        <v>21</v>
      </c>
      <c r="N129" s="146" t="s">
        <v>21</v>
      </c>
      <c r="O129" s="146" t="s">
        <v>21</v>
      </c>
      <c r="P129" s="147">
        <v>0</v>
      </c>
      <c r="Q129" s="147">
        <v>2010.04</v>
      </c>
      <c r="R129" s="147">
        <v>6286.61</v>
      </c>
    </row>
    <row r="130" spans="1:18" x14ac:dyDescent="0.25">
      <c r="A130" s="146" t="s">
        <v>123</v>
      </c>
      <c r="B130" s="150" t="s">
        <v>426</v>
      </c>
      <c r="C130" s="146">
        <v>4</v>
      </c>
      <c r="D130" s="146">
        <v>7</v>
      </c>
      <c r="E130" s="146" t="s">
        <v>534</v>
      </c>
      <c r="F130" s="146">
        <v>59</v>
      </c>
      <c r="G130" s="147">
        <v>879.16</v>
      </c>
      <c r="H130" s="147">
        <v>1037.4100000000001</v>
      </c>
      <c r="I130" s="147">
        <v>3897.03</v>
      </c>
      <c r="J130" s="147">
        <v>583.54</v>
      </c>
      <c r="K130" s="147">
        <v>5517.98</v>
      </c>
      <c r="L130" s="147">
        <v>2593.52</v>
      </c>
      <c r="M130" s="146" t="s">
        <v>21</v>
      </c>
      <c r="N130" s="146" t="s">
        <v>21</v>
      </c>
      <c r="O130" s="146" t="s">
        <v>21</v>
      </c>
      <c r="P130" s="147">
        <v>0</v>
      </c>
      <c r="Q130" s="147">
        <v>2593.52</v>
      </c>
      <c r="R130" s="147">
        <v>8111.5</v>
      </c>
    </row>
    <row r="131" spans="1:18" x14ac:dyDescent="0.25">
      <c r="A131" s="146" t="s">
        <v>124</v>
      </c>
      <c r="B131" s="150" t="s">
        <v>427</v>
      </c>
      <c r="C131" s="146">
        <v>4</v>
      </c>
      <c r="D131" s="146">
        <v>7</v>
      </c>
      <c r="E131" s="146" t="s">
        <v>534</v>
      </c>
      <c r="F131" s="146">
        <v>59</v>
      </c>
      <c r="G131" s="147">
        <v>559.82000000000005</v>
      </c>
      <c r="H131" s="147">
        <v>660.59</v>
      </c>
      <c r="I131" s="147">
        <v>2481.5</v>
      </c>
      <c r="J131" s="147">
        <v>371.58</v>
      </c>
      <c r="K131" s="147">
        <v>3513.67</v>
      </c>
      <c r="L131" s="147">
        <v>1651.47</v>
      </c>
      <c r="M131" s="146" t="s">
        <v>21</v>
      </c>
      <c r="N131" s="146" t="s">
        <v>21</v>
      </c>
      <c r="O131" s="146" t="s">
        <v>21</v>
      </c>
      <c r="P131" s="147">
        <v>0</v>
      </c>
      <c r="Q131" s="147">
        <v>1651.47</v>
      </c>
      <c r="R131" s="147">
        <v>5165.1400000000003</v>
      </c>
    </row>
    <row r="132" spans="1:18" x14ac:dyDescent="0.25">
      <c r="A132" s="146" t="s">
        <v>428</v>
      </c>
      <c r="B132" s="150" t="s">
        <v>429</v>
      </c>
      <c r="C132" s="146">
        <v>4</v>
      </c>
      <c r="D132" s="146">
        <v>8</v>
      </c>
      <c r="E132" s="146" t="s">
        <v>534</v>
      </c>
      <c r="F132" s="146">
        <v>59</v>
      </c>
      <c r="G132" s="147">
        <v>391.38</v>
      </c>
      <c r="H132" s="147">
        <v>461.83</v>
      </c>
      <c r="I132" s="147">
        <v>1468.85</v>
      </c>
      <c r="J132" s="147">
        <v>259.77999999999997</v>
      </c>
      <c r="K132" s="147">
        <v>2190.46</v>
      </c>
      <c r="L132" s="147">
        <v>1154.57</v>
      </c>
      <c r="M132" s="146" t="s">
        <v>21</v>
      </c>
      <c r="N132" s="146" t="s">
        <v>21</v>
      </c>
      <c r="O132" s="146" t="s">
        <v>21</v>
      </c>
      <c r="P132" s="147">
        <v>0</v>
      </c>
      <c r="Q132" s="147">
        <v>1154.57</v>
      </c>
      <c r="R132" s="147">
        <v>3345.03</v>
      </c>
    </row>
    <row r="133" spans="1:18" x14ac:dyDescent="0.25">
      <c r="A133" s="146" t="s">
        <v>430</v>
      </c>
      <c r="B133" s="150" t="s">
        <v>431</v>
      </c>
      <c r="C133" s="146">
        <v>4</v>
      </c>
      <c r="D133" s="146">
        <v>7</v>
      </c>
      <c r="E133" s="146" t="s">
        <v>534</v>
      </c>
      <c r="F133" s="146">
        <v>59</v>
      </c>
      <c r="G133" s="147">
        <v>613.33000000000004</v>
      </c>
      <c r="H133" s="147">
        <v>723.73</v>
      </c>
      <c r="I133" s="147">
        <v>2718.69</v>
      </c>
      <c r="J133" s="147">
        <v>407.1</v>
      </c>
      <c r="K133" s="147">
        <v>3849.52</v>
      </c>
      <c r="L133" s="147">
        <v>1809.32</v>
      </c>
      <c r="M133" s="146" t="s">
        <v>21</v>
      </c>
      <c r="N133" s="146" t="s">
        <v>21</v>
      </c>
      <c r="O133" s="146" t="s">
        <v>21</v>
      </c>
      <c r="P133" s="147">
        <v>0</v>
      </c>
      <c r="Q133" s="147">
        <v>1809.32</v>
      </c>
      <c r="R133" s="147">
        <v>5658.84</v>
      </c>
    </row>
    <row r="134" spans="1:18" x14ac:dyDescent="0.25">
      <c r="A134" s="146" t="s">
        <v>432</v>
      </c>
      <c r="B134" s="150" t="s">
        <v>433</v>
      </c>
      <c r="C134" s="146">
        <v>4</v>
      </c>
      <c r="D134" s="146">
        <v>8</v>
      </c>
      <c r="E134" s="146" t="s">
        <v>543</v>
      </c>
      <c r="F134" s="146">
        <v>58</v>
      </c>
      <c r="G134" s="147">
        <v>391.38</v>
      </c>
      <c r="H134" s="147">
        <v>454</v>
      </c>
      <c r="I134" s="147">
        <v>1443.95</v>
      </c>
      <c r="J134" s="147">
        <v>255.38</v>
      </c>
      <c r="K134" s="147">
        <v>2153.33</v>
      </c>
      <c r="L134" s="147">
        <v>1135</v>
      </c>
      <c r="M134" s="146" t="s">
        <v>21</v>
      </c>
      <c r="N134" s="146" t="s">
        <v>21</v>
      </c>
      <c r="O134" s="146" t="s">
        <v>21</v>
      </c>
      <c r="P134" s="147">
        <v>0</v>
      </c>
      <c r="Q134" s="147">
        <v>1135</v>
      </c>
      <c r="R134" s="147">
        <v>3288.33</v>
      </c>
    </row>
    <row r="135" spans="1:18" x14ac:dyDescent="0.25">
      <c r="A135" s="146" t="s">
        <v>125</v>
      </c>
      <c r="B135" s="150" t="s">
        <v>434</v>
      </c>
      <c r="C135" s="146">
        <v>4</v>
      </c>
      <c r="D135" s="146">
        <v>9</v>
      </c>
      <c r="E135" s="146" t="s">
        <v>21</v>
      </c>
      <c r="F135" s="146">
        <v>59</v>
      </c>
      <c r="G135" s="147">
        <v>435.76</v>
      </c>
      <c r="H135" s="147">
        <v>514.20000000000005</v>
      </c>
      <c r="I135" s="147">
        <v>1700.19</v>
      </c>
      <c r="J135" s="147">
        <v>289.24</v>
      </c>
      <c r="K135" s="147">
        <v>2503.63</v>
      </c>
      <c r="L135" s="147">
        <v>1285.49</v>
      </c>
      <c r="M135" s="146" t="s">
        <v>21</v>
      </c>
      <c r="N135" s="146" t="s">
        <v>21</v>
      </c>
      <c r="O135" s="146" t="s">
        <v>21</v>
      </c>
      <c r="P135" s="147">
        <v>0</v>
      </c>
      <c r="Q135" s="147">
        <v>1285.49</v>
      </c>
      <c r="R135" s="147">
        <v>3789.12</v>
      </c>
    </row>
    <row r="136" spans="1:18" x14ac:dyDescent="0.25">
      <c r="A136" s="146" t="s">
        <v>126</v>
      </c>
      <c r="B136" s="150" t="s">
        <v>435</v>
      </c>
      <c r="C136" s="146">
        <v>4</v>
      </c>
      <c r="D136" s="146">
        <v>7</v>
      </c>
      <c r="E136" s="146" t="s">
        <v>534</v>
      </c>
      <c r="F136" s="146">
        <v>59</v>
      </c>
      <c r="G136" s="147">
        <v>754.63</v>
      </c>
      <c r="H136" s="147">
        <v>890.46</v>
      </c>
      <c r="I136" s="147">
        <v>3345.03</v>
      </c>
      <c r="J136" s="147">
        <v>500.89</v>
      </c>
      <c r="K136" s="147">
        <v>4736.38</v>
      </c>
      <c r="L136" s="147">
        <v>2226.16</v>
      </c>
      <c r="M136" s="146" t="s">
        <v>21</v>
      </c>
      <c r="N136" s="146" t="s">
        <v>21</v>
      </c>
      <c r="O136" s="146" t="s">
        <v>21</v>
      </c>
      <c r="P136" s="147">
        <v>0</v>
      </c>
      <c r="Q136" s="147">
        <v>2226.16</v>
      </c>
      <c r="R136" s="147">
        <v>6962.54</v>
      </c>
    </row>
    <row r="137" spans="1:18" x14ac:dyDescent="0.25">
      <c r="A137" s="146" t="s">
        <v>127</v>
      </c>
      <c r="B137" s="150" t="s">
        <v>436</v>
      </c>
      <c r="C137" s="146">
        <v>4</v>
      </c>
      <c r="D137" s="146">
        <v>7</v>
      </c>
      <c r="E137" s="146" t="s">
        <v>534</v>
      </c>
      <c r="F137" s="146">
        <v>59</v>
      </c>
      <c r="G137" s="147">
        <v>606.91</v>
      </c>
      <c r="H137" s="147">
        <v>716.15</v>
      </c>
      <c r="I137" s="147">
        <v>2690.23</v>
      </c>
      <c r="J137" s="147">
        <v>402.84</v>
      </c>
      <c r="K137" s="147">
        <v>3809.22</v>
      </c>
      <c r="L137" s="147">
        <v>1790.38</v>
      </c>
      <c r="M137" s="146" t="s">
        <v>21</v>
      </c>
      <c r="N137" s="146" t="s">
        <v>21</v>
      </c>
      <c r="O137" s="146" t="s">
        <v>21</v>
      </c>
      <c r="P137" s="147">
        <v>0</v>
      </c>
      <c r="Q137" s="147">
        <v>1790.38</v>
      </c>
      <c r="R137" s="147">
        <v>5599.6</v>
      </c>
    </row>
    <row r="138" spans="1:18" x14ac:dyDescent="0.25">
      <c r="A138" s="146" t="s">
        <v>437</v>
      </c>
      <c r="B138" s="150" t="s">
        <v>438</v>
      </c>
      <c r="C138" s="146">
        <v>4</v>
      </c>
      <c r="D138" s="146">
        <v>7</v>
      </c>
      <c r="E138" s="146" t="s">
        <v>534</v>
      </c>
      <c r="F138" s="146">
        <v>59</v>
      </c>
      <c r="G138" s="147">
        <v>406.13</v>
      </c>
      <c r="H138" s="147">
        <v>479.23</v>
      </c>
      <c r="I138" s="147">
        <v>1555.93</v>
      </c>
      <c r="J138" s="147">
        <v>269.57</v>
      </c>
      <c r="K138" s="147">
        <v>2304.73</v>
      </c>
      <c r="L138" s="147">
        <v>1198.08</v>
      </c>
      <c r="M138" s="146" t="s">
        <v>21</v>
      </c>
      <c r="N138" s="146" t="s">
        <v>21</v>
      </c>
      <c r="O138" s="146" t="s">
        <v>21</v>
      </c>
      <c r="P138" s="147">
        <v>0</v>
      </c>
      <c r="Q138" s="147">
        <v>1198.08</v>
      </c>
      <c r="R138" s="147">
        <v>3502.81</v>
      </c>
    </row>
    <row r="139" spans="1:18" x14ac:dyDescent="0.25">
      <c r="A139" s="146" t="s">
        <v>128</v>
      </c>
      <c r="B139" s="150" t="s">
        <v>439</v>
      </c>
      <c r="C139" s="146">
        <v>4</v>
      </c>
      <c r="D139" s="146">
        <v>7</v>
      </c>
      <c r="E139" s="146" t="s">
        <v>534</v>
      </c>
      <c r="F139" s="146">
        <v>59</v>
      </c>
      <c r="G139" s="147">
        <v>520.49</v>
      </c>
      <c r="H139" s="147">
        <v>614.17999999999995</v>
      </c>
      <c r="I139" s="147">
        <v>2307.16</v>
      </c>
      <c r="J139" s="147">
        <v>345.48</v>
      </c>
      <c r="K139" s="147">
        <v>3266.82</v>
      </c>
      <c r="L139" s="147">
        <v>1535.45</v>
      </c>
      <c r="M139" s="146" t="s">
        <v>21</v>
      </c>
      <c r="N139" s="146" t="s">
        <v>21</v>
      </c>
      <c r="O139" s="146" t="s">
        <v>21</v>
      </c>
      <c r="P139" s="147">
        <v>0</v>
      </c>
      <c r="Q139" s="147">
        <v>1535.45</v>
      </c>
      <c r="R139" s="147">
        <v>4802.2700000000004</v>
      </c>
    </row>
    <row r="140" spans="1:18" x14ac:dyDescent="0.25">
      <c r="A140" s="146" t="s">
        <v>129</v>
      </c>
      <c r="B140" s="150" t="s">
        <v>440</v>
      </c>
      <c r="C140" s="146">
        <v>4</v>
      </c>
      <c r="D140" s="146">
        <v>7</v>
      </c>
      <c r="E140" s="146" t="s">
        <v>534</v>
      </c>
      <c r="F140" s="146">
        <v>59</v>
      </c>
      <c r="G140" s="147">
        <v>417.46</v>
      </c>
      <c r="H140" s="147">
        <v>492.6</v>
      </c>
      <c r="I140" s="147">
        <v>1628.8</v>
      </c>
      <c r="J140" s="147">
        <v>277.08999999999997</v>
      </c>
      <c r="K140" s="147">
        <v>2398.4899999999998</v>
      </c>
      <c r="L140" s="147">
        <v>1231.51</v>
      </c>
      <c r="M140" s="146" t="s">
        <v>21</v>
      </c>
      <c r="N140" s="146" t="s">
        <v>21</v>
      </c>
      <c r="O140" s="146" t="s">
        <v>21</v>
      </c>
      <c r="P140" s="147">
        <v>0</v>
      </c>
      <c r="Q140" s="147">
        <v>1231.51</v>
      </c>
      <c r="R140" s="147">
        <v>3630</v>
      </c>
    </row>
    <row r="141" spans="1:18" x14ac:dyDescent="0.25">
      <c r="A141" s="146" t="s">
        <v>130</v>
      </c>
      <c r="B141" s="150" t="s">
        <v>441</v>
      </c>
      <c r="C141" s="146">
        <v>4</v>
      </c>
      <c r="D141" s="146">
        <v>7</v>
      </c>
      <c r="E141" s="146" t="s">
        <v>534</v>
      </c>
      <c r="F141" s="146">
        <v>59</v>
      </c>
      <c r="G141" s="147">
        <v>2017.73</v>
      </c>
      <c r="H141" s="147">
        <v>2380.92</v>
      </c>
      <c r="I141" s="147">
        <v>8943.93</v>
      </c>
      <c r="J141" s="147">
        <v>1339.27</v>
      </c>
      <c r="K141" s="147">
        <v>12664.12</v>
      </c>
      <c r="L141" s="147">
        <v>5952.3</v>
      </c>
      <c r="M141" s="146" t="s">
        <v>21</v>
      </c>
      <c r="N141" s="146" t="s">
        <v>21</v>
      </c>
      <c r="O141" s="146" t="s">
        <v>21</v>
      </c>
      <c r="P141" s="147">
        <v>0</v>
      </c>
      <c r="Q141" s="147">
        <v>5952.3</v>
      </c>
      <c r="R141" s="147">
        <v>18616.419999999998</v>
      </c>
    </row>
    <row r="142" spans="1:18" x14ac:dyDescent="0.25">
      <c r="A142" s="146" t="s">
        <v>131</v>
      </c>
      <c r="B142" s="150" t="s">
        <v>442</v>
      </c>
      <c r="C142" s="146">
        <v>1</v>
      </c>
      <c r="D142" s="146">
        <v>7</v>
      </c>
      <c r="E142" s="146" t="s">
        <v>534</v>
      </c>
      <c r="F142" s="146">
        <v>59</v>
      </c>
      <c r="G142" s="147">
        <v>330.57</v>
      </c>
      <c r="H142" s="147">
        <v>390.07</v>
      </c>
      <c r="I142" s="147">
        <v>1175.28</v>
      </c>
      <c r="J142" s="147">
        <v>219.42</v>
      </c>
      <c r="K142" s="147">
        <v>1784.77</v>
      </c>
      <c r="L142" s="147">
        <v>975.18</v>
      </c>
      <c r="M142" s="146" t="s">
        <v>21</v>
      </c>
      <c r="N142" s="146" t="s">
        <v>21</v>
      </c>
      <c r="O142" s="146" t="s">
        <v>21</v>
      </c>
      <c r="P142" s="147">
        <v>0</v>
      </c>
      <c r="Q142" s="147">
        <v>975.18</v>
      </c>
      <c r="R142" s="147">
        <v>2759.95</v>
      </c>
    </row>
    <row r="143" spans="1:18" x14ac:dyDescent="0.25">
      <c r="A143" s="146" t="s">
        <v>443</v>
      </c>
      <c r="B143" s="150" t="s">
        <v>444</v>
      </c>
      <c r="C143" s="146">
        <v>4</v>
      </c>
      <c r="D143" s="146">
        <v>7</v>
      </c>
      <c r="E143" s="146" t="s">
        <v>535</v>
      </c>
      <c r="F143" s="146">
        <v>50</v>
      </c>
      <c r="G143" s="147">
        <v>357.16</v>
      </c>
      <c r="H143" s="147">
        <v>357.16</v>
      </c>
      <c r="I143" s="147">
        <v>1135.95</v>
      </c>
      <c r="J143" s="147">
        <v>200.9</v>
      </c>
      <c r="K143" s="147">
        <v>1694.01</v>
      </c>
      <c r="L143" s="147">
        <v>892.9</v>
      </c>
      <c r="M143" s="146" t="s">
        <v>21</v>
      </c>
      <c r="N143" s="146" t="s">
        <v>21</v>
      </c>
      <c r="O143" s="146" t="s">
        <v>21</v>
      </c>
      <c r="P143" s="147">
        <v>0</v>
      </c>
      <c r="Q143" s="147">
        <v>892.9</v>
      </c>
      <c r="R143" s="147">
        <v>2586.91</v>
      </c>
    </row>
    <row r="144" spans="1:18" x14ac:dyDescent="0.25">
      <c r="A144" s="146" t="s">
        <v>443</v>
      </c>
      <c r="B144" s="150" t="s">
        <v>444</v>
      </c>
      <c r="C144" s="146">
        <v>4</v>
      </c>
      <c r="D144" s="146">
        <v>9</v>
      </c>
      <c r="E144" s="146" t="s">
        <v>21</v>
      </c>
      <c r="F144" s="146">
        <v>9</v>
      </c>
      <c r="G144" s="147">
        <v>359.23</v>
      </c>
      <c r="H144" s="147">
        <v>64.66</v>
      </c>
      <c r="I144" s="147">
        <v>205.66</v>
      </c>
      <c r="J144" s="147">
        <v>36.369999999999997</v>
      </c>
      <c r="K144" s="147">
        <v>306.69</v>
      </c>
      <c r="L144" s="147">
        <v>161.65</v>
      </c>
      <c r="M144" s="146" t="s">
        <v>21</v>
      </c>
      <c r="N144" s="146" t="s">
        <v>21</v>
      </c>
      <c r="O144" s="146" t="s">
        <v>21</v>
      </c>
      <c r="P144" s="147">
        <v>0</v>
      </c>
      <c r="Q144" s="147">
        <v>161.65</v>
      </c>
      <c r="R144" s="147">
        <v>468.34</v>
      </c>
    </row>
    <row r="145" spans="1:18" x14ac:dyDescent="0.25">
      <c r="A145" s="146" t="s">
        <v>132</v>
      </c>
      <c r="B145" s="150" t="s">
        <v>445</v>
      </c>
      <c r="C145" s="146">
        <v>1</v>
      </c>
      <c r="D145" s="146">
        <v>7</v>
      </c>
      <c r="E145" s="146" t="s">
        <v>534</v>
      </c>
      <c r="F145" s="146">
        <v>59</v>
      </c>
      <c r="G145" s="147">
        <v>330.57</v>
      </c>
      <c r="H145" s="147">
        <v>390.07</v>
      </c>
      <c r="I145" s="147">
        <v>1175.28</v>
      </c>
      <c r="J145" s="147">
        <v>219.42</v>
      </c>
      <c r="K145" s="147">
        <v>1784.77</v>
      </c>
      <c r="L145" s="147">
        <v>975.18</v>
      </c>
      <c r="M145" s="146" t="s">
        <v>21</v>
      </c>
      <c r="N145" s="146" t="s">
        <v>21</v>
      </c>
      <c r="O145" s="146" t="s">
        <v>21</v>
      </c>
      <c r="P145" s="147">
        <v>0</v>
      </c>
      <c r="Q145" s="147">
        <v>975.18</v>
      </c>
      <c r="R145" s="147">
        <v>2759.95</v>
      </c>
    </row>
    <row r="146" spans="1:18" x14ac:dyDescent="0.25">
      <c r="A146" s="146" t="s">
        <v>133</v>
      </c>
      <c r="B146" s="150" t="s">
        <v>446</v>
      </c>
      <c r="C146" s="146">
        <v>4</v>
      </c>
      <c r="D146" s="146">
        <v>7</v>
      </c>
      <c r="E146" s="146" t="s">
        <v>534</v>
      </c>
      <c r="F146" s="146">
        <v>59</v>
      </c>
      <c r="G146" s="147">
        <v>1314.78</v>
      </c>
      <c r="H146" s="147">
        <v>1551.44</v>
      </c>
      <c r="I146" s="147">
        <v>5827.98</v>
      </c>
      <c r="J146" s="147">
        <v>872.69</v>
      </c>
      <c r="K146" s="147">
        <v>8252.11</v>
      </c>
      <c r="L146" s="147">
        <v>3878.6</v>
      </c>
      <c r="M146" s="146" t="s">
        <v>21</v>
      </c>
      <c r="N146" s="146" t="s">
        <v>21</v>
      </c>
      <c r="O146" s="146" t="s">
        <v>21</v>
      </c>
      <c r="P146" s="147">
        <v>0</v>
      </c>
      <c r="Q146" s="147">
        <v>3878.6</v>
      </c>
      <c r="R146" s="147">
        <v>12130.71</v>
      </c>
    </row>
    <row r="147" spans="1:18" x14ac:dyDescent="0.25">
      <c r="A147" s="146" t="s">
        <v>134</v>
      </c>
      <c r="B147" s="150" t="s">
        <v>447</v>
      </c>
      <c r="C147" s="146">
        <v>4</v>
      </c>
      <c r="D147" s="146">
        <v>9</v>
      </c>
      <c r="E147" s="146" t="s">
        <v>21</v>
      </c>
      <c r="F147" s="146">
        <v>59</v>
      </c>
      <c r="G147" s="147">
        <v>432.58</v>
      </c>
      <c r="H147" s="147">
        <v>510.44</v>
      </c>
      <c r="I147" s="147">
        <v>1687.78</v>
      </c>
      <c r="J147" s="147">
        <v>287.12</v>
      </c>
      <c r="K147" s="147">
        <v>2485.34</v>
      </c>
      <c r="L147" s="147">
        <v>1276.1099999999999</v>
      </c>
      <c r="M147" s="146" t="s">
        <v>21</v>
      </c>
      <c r="N147" s="146" t="s">
        <v>21</v>
      </c>
      <c r="O147" s="146" t="s">
        <v>21</v>
      </c>
      <c r="P147" s="147">
        <v>0</v>
      </c>
      <c r="Q147" s="147">
        <v>1276.1099999999999</v>
      </c>
      <c r="R147" s="147">
        <v>3761.45</v>
      </c>
    </row>
    <row r="148" spans="1:18" x14ac:dyDescent="0.25">
      <c r="A148" s="146" t="s">
        <v>135</v>
      </c>
      <c r="B148" s="150" t="s">
        <v>448</v>
      </c>
      <c r="C148" s="146">
        <v>1</v>
      </c>
      <c r="D148" s="146">
        <v>7</v>
      </c>
      <c r="E148" s="146" t="s">
        <v>534</v>
      </c>
      <c r="F148" s="146">
        <v>59</v>
      </c>
      <c r="G148" s="147">
        <v>330.57</v>
      </c>
      <c r="H148" s="147">
        <v>390.07</v>
      </c>
      <c r="I148" s="147">
        <v>1175.28</v>
      </c>
      <c r="J148" s="147">
        <v>219.42</v>
      </c>
      <c r="K148" s="147">
        <v>1784.77</v>
      </c>
      <c r="L148" s="147">
        <v>975.18</v>
      </c>
      <c r="M148" s="146" t="s">
        <v>21</v>
      </c>
      <c r="N148" s="146" t="s">
        <v>21</v>
      </c>
      <c r="O148" s="146" t="s">
        <v>21</v>
      </c>
      <c r="P148" s="147">
        <v>0</v>
      </c>
      <c r="Q148" s="147">
        <v>975.18</v>
      </c>
      <c r="R148" s="147">
        <v>2759.95</v>
      </c>
    </row>
    <row r="149" spans="1:18" x14ac:dyDescent="0.25">
      <c r="A149" s="146" t="s">
        <v>136</v>
      </c>
      <c r="B149" s="150" t="s">
        <v>449</v>
      </c>
      <c r="C149" s="146">
        <v>4</v>
      </c>
      <c r="D149" s="146">
        <v>7</v>
      </c>
      <c r="E149" s="146" t="s">
        <v>534</v>
      </c>
      <c r="F149" s="146">
        <v>59</v>
      </c>
      <c r="G149" s="147">
        <v>466.41</v>
      </c>
      <c r="H149" s="147">
        <v>550.36</v>
      </c>
      <c r="I149" s="147">
        <v>1949.9</v>
      </c>
      <c r="J149" s="147">
        <v>309.58</v>
      </c>
      <c r="K149" s="147">
        <v>2809.84</v>
      </c>
      <c r="L149" s="147">
        <v>1375.91</v>
      </c>
      <c r="M149" s="146" t="s">
        <v>21</v>
      </c>
      <c r="N149" s="146" t="s">
        <v>21</v>
      </c>
      <c r="O149" s="146" t="s">
        <v>21</v>
      </c>
      <c r="P149" s="147">
        <v>0</v>
      </c>
      <c r="Q149" s="147">
        <v>1375.91</v>
      </c>
      <c r="R149" s="147">
        <v>4185.75</v>
      </c>
    </row>
    <row r="150" spans="1:18" x14ac:dyDescent="0.25">
      <c r="A150" s="146" t="s">
        <v>137</v>
      </c>
      <c r="B150" s="150" t="s">
        <v>450</v>
      </c>
      <c r="C150" s="146">
        <v>4</v>
      </c>
      <c r="D150" s="146">
        <v>7</v>
      </c>
      <c r="E150" s="146" t="s">
        <v>534</v>
      </c>
      <c r="F150" s="146">
        <v>59</v>
      </c>
      <c r="G150" s="147">
        <v>541.30999999999995</v>
      </c>
      <c r="H150" s="147">
        <v>638.75</v>
      </c>
      <c r="I150" s="147">
        <v>2399.4499999999998</v>
      </c>
      <c r="J150" s="147">
        <v>359.29</v>
      </c>
      <c r="K150" s="147">
        <v>3397.49</v>
      </c>
      <c r="L150" s="147">
        <v>1596.86</v>
      </c>
      <c r="M150" s="146" t="s">
        <v>21</v>
      </c>
      <c r="N150" s="146" t="s">
        <v>21</v>
      </c>
      <c r="O150" s="146" t="s">
        <v>21</v>
      </c>
      <c r="P150" s="147">
        <v>0</v>
      </c>
      <c r="Q150" s="147">
        <v>1596.86</v>
      </c>
      <c r="R150" s="147">
        <v>4994.3500000000004</v>
      </c>
    </row>
    <row r="151" spans="1:18" x14ac:dyDescent="0.25">
      <c r="A151" s="146" t="s">
        <v>138</v>
      </c>
      <c r="B151" s="150" t="s">
        <v>451</v>
      </c>
      <c r="C151" s="146">
        <v>1</v>
      </c>
      <c r="D151" s="146">
        <v>7</v>
      </c>
      <c r="E151" s="146" t="s">
        <v>534</v>
      </c>
      <c r="F151" s="146">
        <v>59</v>
      </c>
      <c r="G151" s="147">
        <v>330.57</v>
      </c>
      <c r="H151" s="147">
        <v>390.07</v>
      </c>
      <c r="I151" s="147">
        <v>1175.28</v>
      </c>
      <c r="J151" s="147">
        <v>219.42</v>
      </c>
      <c r="K151" s="147">
        <v>1784.77</v>
      </c>
      <c r="L151" s="147">
        <v>975.18</v>
      </c>
      <c r="M151" s="146" t="s">
        <v>21</v>
      </c>
      <c r="N151" s="146" t="s">
        <v>21</v>
      </c>
      <c r="O151" s="146" t="s">
        <v>21</v>
      </c>
      <c r="P151" s="147">
        <v>0</v>
      </c>
      <c r="Q151" s="147">
        <v>975.18</v>
      </c>
      <c r="R151" s="147">
        <v>2759.95</v>
      </c>
    </row>
    <row r="152" spans="1:18" x14ac:dyDescent="0.25">
      <c r="A152" s="146" t="s">
        <v>139</v>
      </c>
      <c r="B152" s="150" t="s">
        <v>452</v>
      </c>
      <c r="C152" s="146">
        <v>4</v>
      </c>
      <c r="D152" s="146">
        <v>7</v>
      </c>
      <c r="E152" s="146" t="s">
        <v>534</v>
      </c>
      <c r="F152" s="146">
        <v>59</v>
      </c>
      <c r="G152" s="147">
        <v>722.35</v>
      </c>
      <c r="H152" s="147">
        <v>852.37</v>
      </c>
      <c r="I152" s="147">
        <v>3201.93</v>
      </c>
      <c r="J152" s="147">
        <v>479.46</v>
      </c>
      <c r="K152" s="147">
        <v>4533.76</v>
      </c>
      <c r="L152" s="147">
        <v>2130.9299999999998</v>
      </c>
      <c r="M152" s="146" t="s">
        <v>21</v>
      </c>
      <c r="N152" s="146" t="s">
        <v>21</v>
      </c>
      <c r="O152" s="146" t="s">
        <v>21</v>
      </c>
      <c r="P152" s="147">
        <v>0</v>
      </c>
      <c r="Q152" s="147">
        <v>2130.9299999999998</v>
      </c>
      <c r="R152" s="147">
        <v>6664.69</v>
      </c>
    </row>
    <row r="153" spans="1:18" x14ac:dyDescent="0.25">
      <c r="A153" s="146" t="s">
        <v>140</v>
      </c>
      <c r="B153" s="150" t="s">
        <v>453</v>
      </c>
      <c r="C153" s="146">
        <v>4</v>
      </c>
      <c r="D153" s="146">
        <v>7</v>
      </c>
      <c r="E153" s="146" t="s">
        <v>534</v>
      </c>
      <c r="F153" s="146">
        <v>59</v>
      </c>
      <c r="G153" s="147">
        <v>1125.71</v>
      </c>
      <c r="H153" s="147">
        <v>1328.34</v>
      </c>
      <c r="I153" s="147">
        <v>4989.8999999999996</v>
      </c>
      <c r="J153" s="147">
        <v>747.19</v>
      </c>
      <c r="K153" s="147">
        <v>7065.43</v>
      </c>
      <c r="L153" s="147">
        <v>3320.84</v>
      </c>
      <c r="M153" s="146" t="s">
        <v>21</v>
      </c>
      <c r="N153" s="146" t="s">
        <v>21</v>
      </c>
      <c r="O153" s="146" t="s">
        <v>21</v>
      </c>
      <c r="P153" s="147">
        <v>0</v>
      </c>
      <c r="Q153" s="147">
        <v>3320.84</v>
      </c>
      <c r="R153" s="147">
        <v>10386.27</v>
      </c>
    </row>
    <row r="154" spans="1:18" x14ac:dyDescent="0.25">
      <c r="A154" s="146" t="s">
        <v>141</v>
      </c>
      <c r="B154" s="150" t="s">
        <v>454</v>
      </c>
      <c r="C154" s="146">
        <v>4</v>
      </c>
      <c r="D154" s="146">
        <v>7</v>
      </c>
      <c r="E154" s="146" t="s">
        <v>534</v>
      </c>
      <c r="F154" s="146">
        <v>59</v>
      </c>
      <c r="G154" s="147">
        <v>1907.6</v>
      </c>
      <c r="H154" s="147">
        <v>2250.9699999999998</v>
      </c>
      <c r="I154" s="147">
        <v>8455.76</v>
      </c>
      <c r="J154" s="147">
        <v>1266.17</v>
      </c>
      <c r="K154" s="147">
        <v>11972.9</v>
      </c>
      <c r="L154" s="147">
        <v>5627.42</v>
      </c>
      <c r="M154" s="146" t="s">
        <v>21</v>
      </c>
      <c r="N154" s="146" t="s">
        <v>21</v>
      </c>
      <c r="O154" s="146" t="s">
        <v>21</v>
      </c>
      <c r="P154" s="147">
        <v>0</v>
      </c>
      <c r="Q154" s="147">
        <v>5627.42</v>
      </c>
      <c r="R154" s="147">
        <v>17600.32</v>
      </c>
    </row>
    <row r="155" spans="1:18" x14ac:dyDescent="0.25">
      <c r="A155" s="146" t="s">
        <v>142</v>
      </c>
      <c r="B155" s="150" t="s">
        <v>455</v>
      </c>
      <c r="C155" s="146">
        <v>4</v>
      </c>
      <c r="D155" s="146">
        <v>7</v>
      </c>
      <c r="E155" s="146" t="s">
        <v>534</v>
      </c>
      <c r="F155" s="146">
        <v>59</v>
      </c>
      <c r="G155" s="147">
        <v>1273.52</v>
      </c>
      <c r="H155" s="147">
        <v>1502.75</v>
      </c>
      <c r="I155" s="147">
        <v>5645.1</v>
      </c>
      <c r="J155" s="147">
        <v>845.3</v>
      </c>
      <c r="K155" s="147">
        <v>7993.15</v>
      </c>
      <c r="L155" s="147">
        <v>3756.88</v>
      </c>
      <c r="M155" s="146" t="s">
        <v>21</v>
      </c>
      <c r="N155" s="146" t="s">
        <v>21</v>
      </c>
      <c r="O155" s="146" t="s">
        <v>21</v>
      </c>
      <c r="P155" s="147">
        <v>0</v>
      </c>
      <c r="Q155" s="147">
        <v>3756.88</v>
      </c>
      <c r="R155" s="147">
        <v>11750.03</v>
      </c>
    </row>
    <row r="156" spans="1:18" x14ac:dyDescent="0.25">
      <c r="A156" s="146" t="s">
        <v>143</v>
      </c>
      <c r="B156" s="150" t="s">
        <v>456</v>
      </c>
      <c r="C156" s="146">
        <v>4</v>
      </c>
      <c r="D156" s="146">
        <v>7</v>
      </c>
      <c r="E156" s="146" t="s">
        <v>534</v>
      </c>
      <c r="F156" s="146">
        <v>59</v>
      </c>
      <c r="G156" s="147">
        <v>2828.5</v>
      </c>
      <c r="H156" s="147">
        <v>3337.63</v>
      </c>
      <c r="I156" s="147">
        <v>12537.81</v>
      </c>
      <c r="J156" s="147">
        <v>1877.42</v>
      </c>
      <c r="K156" s="147">
        <v>17752.86</v>
      </c>
      <c r="L156" s="147">
        <v>8344.08</v>
      </c>
      <c r="M156" s="146" t="s">
        <v>21</v>
      </c>
      <c r="N156" s="146" t="s">
        <v>21</v>
      </c>
      <c r="O156" s="146" t="s">
        <v>21</v>
      </c>
      <c r="P156" s="147">
        <v>0</v>
      </c>
      <c r="Q156" s="147">
        <v>8344.08</v>
      </c>
      <c r="R156" s="147">
        <v>26096.94</v>
      </c>
    </row>
    <row r="157" spans="1:18" x14ac:dyDescent="0.25">
      <c r="A157" s="146" t="s">
        <v>144</v>
      </c>
      <c r="B157" s="150" t="s">
        <v>457</v>
      </c>
      <c r="C157" s="146">
        <v>4</v>
      </c>
      <c r="D157" s="146">
        <v>7</v>
      </c>
      <c r="E157" s="146" t="s">
        <v>534</v>
      </c>
      <c r="F157" s="146">
        <v>59</v>
      </c>
      <c r="G157" s="147">
        <v>492.57</v>
      </c>
      <c r="H157" s="147">
        <v>581.23</v>
      </c>
      <c r="I157" s="147">
        <v>2183.4</v>
      </c>
      <c r="J157" s="147">
        <v>326.94</v>
      </c>
      <c r="K157" s="147">
        <v>3091.57</v>
      </c>
      <c r="L157" s="147">
        <v>1453.08</v>
      </c>
      <c r="M157" s="146" t="s">
        <v>21</v>
      </c>
      <c r="N157" s="146" t="s">
        <v>21</v>
      </c>
      <c r="O157" s="146" t="s">
        <v>21</v>
      </c>
      <c r="P157" s="147">
        <v>0</v>
      </c>
      <c r="Q157" s="147">
        <v>1453.08</v>
      </c>
      <c r="R157" s="147">
        <v>4544.6499999999996</v>
      </c>
    </row>
    <row r="158" spans="1:18" x14ac:dyDescent="0.25">
      <c r="A158" s="146" t="s">
        <v>145</v>
      </c>
      <c r="B158" s="150" t="s">
        <v>458</v>
      </c>
      <c r="C158" s="146">
        <v>4</v>
      </c>
      <c r="D158" s="146">
        <v>7</v>
      </c>
      <c r="E158" s="146" t="s">
        <v>534</v>
      </c>
      <c r="F158" s="146">
        <v>59</v>
      </c>
      <c r="G158" s="147">
        <v>1913.62</v>
      </c>
      <c r="H158" s="147">
        <v>2258.0700000000002</v>
      </c>
      <c r="I158" s="147">
        <v>8482.4500000000007</v>
      </c>
      <c r="J158" s="147">
        <v>1270.17</v>
      </c>
      <c r="K158" s="147">
        <v>12010.69</v>
      </c>
      <c r="L158" s="147">
        <v>5645.18</v>
      </c>
      <c r="M158" s="146" t="s">
        <v>21</v>
      </c>
      <c r="N158" s="146" t="s">
        <v>21</v>
      </c>
      <c r="O158" s="146" t="s">
        <v>21</v>
      </c>
      <c r="P158" s="147">
        <v>0</v>
      </c>
      <c r="Q158" s="147">
        <v>5645.18</v>
      </c>
      <c r="R158" s="147">
        <v>17655.87</v>
      </c>
    </row>
    <row r="159" spans="1:18" x14ac:dyDescent="0.25">
      <c r="A159" s="146" t="s">
        <v>146</v>
      </c>
      <c r="B159" s="150" t="s">
        <v>459</v>
      </c>
      <c r="C159" s="146">
        <v>4</v>
      </c>
      <c r="D159" s="146">
        <v>7</v>
      </c>
      <c r="E159" s="146" t="s">
        <v>534</v>
      </c>
      <c r="F159" s="146">
        <v>59</v>
      </c>
      <c r="G159" s="147">
        <v>465.43</v>
      </c>
      <c r="H159" s="147">
        <v>549.21</v>
      </c>
      <c r="I159" s="147">
        <v>1945.81</v>
      </c>
      <c r="J159" s="147">
        <v>308.93</v>
      </c>
      <c r="K159" s="147">
        <v>2803.95</v>
      </c>
      <c r="L159" s="147">
        <v>1373.02</v>
      </c>
      <c r="M159" s="146" t="s">
        <v>21</v>
      </c>
      <c r="N159" s="146" t="s">
        <v>21</v>
      </c>
      <c r="O159" s="146" t="s">
        <v>21</v>
      </c>
      <c r="P159" s="147">
        <v>0</v>
      </c>
      <c r="Q159" s="147">
        <v>1373.02</v>
      </c>
      <c r="R159" s="147">
        <v>4176.97</v>
      </c>
    </row>
    <row r="160" spans="1:18" x14ac:dyDescent="0.25">
      <c r="A160" s="146" t="s">
        <v>147</v>
      </c>
      <c r="B160" s="150" t="s">
        <v>460</v>
      </c>
      <c r="C160" s="146">
        <v>4</v>
      </c>
      <c r="D160" s="146">
        <v>7</v>
      </c>
      <c r="E160" s="146" t="s">
        <v>534</v>
      </c>
      <c r="F160" s="146">
        <v>59</v>
      </c>
      <c r="G160" s="147">
        <v>2479.75</v>
      </c>
      <c r="H160" s="147">
        <v>2926.11</v>
      </c>
      <c r="I160" s="147">
        <v>10991.91</v>
      </c>
      <c r="J160" s="147">
        <v>1645.93</v>
      </c>
      <c r="K160" s="147">
        <v>15563.95</v>
      </c>
      <c r="L160" s="147">
        <v>7315.26</v>
      </c>
      <c r="M160" s="146" t="s">
        <v>21</v>
      </c>
      <c r="N160" s="146" t="s">
        <v>21</v>
      </c>
      <c r="O160" s="146" t="s">
        <v>21</v>
      </c>
      <c r="P160" s="147">
        <v>0</v>
      </c>
      <c r="Q160" s="147">
        <v>7315.26</v>
      </c>
      <c r="R160" s="147">
        <v>22879.21</v>
      </c>
    </row>
    <row r="161" spans="1:18" x14ac:dyDescent="0.25">
      <c r="A161" s="146" t="s">
        <v>461</v>
      </c>
      <c r="B161" s="150" t="s">
        <v>462</v>
      </c>
      <c r="C161" s="146">
        <v>4</v>
      </c>
      <c r="D161" s="146">
        <v>8</v>
      </c>
      <c r="E161" s="146" t="s">
        <v>542</v>
      </c>
      <c r="F161" s="146">
        <v>55</v>
      </c>
      <c r="G161" s="147">
        <v>341.61</v>
      </c>
      <c r="H161" s="147">
        <v>375.77</v>
      </c>
      <c r="I161" s="147">
        <v>1163.0899999999999</v>
      </c>
      <c r="J161" s="147">
        <v>211.37</v>
      </c>
      <c r="K161" s="147">
        <v>1750.23</v>
      </c>
      <c r="L161" s="147">
        <v>939.43</v>
      </c>
      <c r="M161" s="146" t="s">
        <v>21</v>
      </c>
      <c r="N161" s="146" t="s">
        <v>21</v>
      </c>
      <c r="O161" s="146" t="s">
        <v>21</v>
      </c>
      <c r="P161" s="147">
        <v>0</v>
      </c>
      <c r="Q161" s="147">
        <v>939.43</v>
      </c>
      <c r="R161" s="147">
        <v>2689.66</v>
      </c>
    </row>
    <row r="162" spans="1:18" x14ac:dyDescent="0.25">
      <c r="A162" s="146" t="s">
        <v>463</v>
      </c>
      <c r="B162" s="150" t="s">
        <v>464</v>
      </c>
      <c r="C162" s="146">
        <v>4</v>
      </c>
      <c r="D162" s="146">
        <v>7</v>
      </c>
      <c r="E162" s="146" t="s">
        <v>534</v>
      </c>
      <c r="F162" s="146">
        <v>59</v>
      </c>
      <c r="G162" s="147">
        <v>356.04</v>
      </c>
      <c r="H162" s="147">
        <v>420.13</v>
      </c>
      <c r="I162" s="147">
        <v>1336.22</v>
      </c>
      <c r="J162" s="147">
        <v>236.32</v>
      </c>
      <c r="K162" s="147">
        <v>1992.67</v>
      </c>
      <c r="L162" s="147">
        <v>1050.32</v>
      </c>
      <c r="M162" s="146" t="s">
        <v>21</v>
      </c>
      <c r="N162" s="146" t="s">
        <v>21</v>
      </c>
      <c r="O162" s="146" t="s">
        <v>21</v>
      </c>
      <c r="P162" s="147">
        <v>0</v>
      </c>
      <c r="Q162" s="147">
        <v>1050.32</v>
      </c>
      <c r="R162" s="147">
        <v>3042.99</v>
      </c>
    </row>
    <row r="163" spans="1:18" x14ac:dyDescent="0.25">
      <c r="A163" s="146" t="s">
        <v>148</v>
      </c>
      <c r="B163" s="150" t="s">
        <v>465</v>
      </c>
      <c r="C163" s="146">
        <v>4</v>
      </c>
      <c r="D163" s="146">
        <v>7</v>
      </c>
      <c r="E163" s="146" t="s">
        <v>534</v>
      </c>
      <c r="F163" s="146">
        <v>59</v>
      </c>
      <c r="G163" s="147">
        <v>435.79</v>
      </c>
      <c r="H163" s="147">
        <v>514.23</v>
      </c>
      <c r="I163" s="147">
        <v>1700.31</v>
      </c>
      <c r="J163" s="147">
        <v>289.26</v>
      </c>
      <c r="K163" s="147">
        <v>2503.8000000000002</v>
      </c>
      <c r="L163" s="147">
        <v>1285.58</v>
      </c>
      <c r="M163" s="146" t="s">
        <v>21</v>
      </c>
      <c r="N163" s="146" t="s">
        <v>21</v>
      </c>
      <c r="O163" s="146" t="s">
        <v>21</v>
      </c>
      <c r="P163" s="147">
        <v>0</v>
      </c>
      <c r="Q163" s="147">
        <v>1285.58</v>
      </c>
      <c r="R163" s="147">
        <v>3789.38</v>
      </c>
    </row>
    <row r="164" spans="1:18" x14ac:dyDescent="0.25">
      <c r="A164" s="146" t="s">
        <v>149</v>
      </c>
      <c r="B164" s="150" t="s">
        <v>466</v>
      </c>
      <c r="C164" s="146">
        <v>4</v>
      </c>
      <c r="D164" s="146">
        <v>7</v>
      </c>
      <c r="E164" s="146" t="s">
        <v>534</v>
      </c>
      <c r="F164" s="146">
        <v>59</v>
      </c>
      <c r="G164" s="147">
        <v>466.41</v>
      </c>
      <c r="H164" s="147">
        <v>550.36</v>
      </c>
      <c r="I164" s="147">
        <v>1949.9</v>
      </c>
      <c r="J164" s="147">
        <v>309.58</v>
      </c>
      <c r="K164" s="147">
        <v>2809.84</v>
      </c>
      <c r="L164" s="147">
        <v>1375.91</v>
      </c>
      <c r="M164" s="146" t="s">
        <v>21</v>
      </c>
      <c r="N164" s="146" t="s">
        <v>21</v>
      </c>
      <c r="O164" s="146" t="s">
        <v>21</v>
      </c>
      <c r="P164" s="147">
        <v>0</v>
      </c>
      <c r="Q164" s="147">
        <v>1375.91</v>
      </c>
      <c r="R164" s="147">
        <v>4185.75</v>
      </c>
    </row>
    <row r="165" spans="1:18" x14ac:dyDescent="0.25">
      <c r="A165" s="146" t="s">
        <v>150</v>
      </c>
      <c r="B165" s="150" t="s">
        <v>467</v>
      </c>
      <c r="C165" s="146">
        <v>1</v>
      </c>
      <c r="D165" s="146">
        <v>7</v>
      </c>
      <c r="E165" s="146" t="s">
        <v>534</v>
      </c>
      <c r="F165" s="146">
        <v>59</v>
      </c>
      <c r="G165" s="147">
        <v>330.57</v>
      </c>
      <c r="H165" s="147">
        <v>390.07</v>
      </c>
      <c r="I165" s="147">
        <v>1175.28</v>
      </c>
      <c r="J165" s="147">
        <v>219.42</v>
      </c>
      <c r="K165" s="147">
        <v>1784.77</v>
      </c>
      <c r="L165" s="147">
        <v>975.18</v>
      </c>
      <c r="M165" s="146" t="s">
        <v>21</v>
      </c>
      <c r="N165" s="146" t="s">
        <v>21</v>
      </c>
      <c r="O165" s="146" t="s">
        <v>21</v>
      </c>
      <c r="P165" s="147">
        <v>0</v>
      </c>
      <c r="Q165" s="147">
        <v>975.18</v>
      </c>
      <c r="R165" s="147">
        <v>2759.95</v>
      </c>
    </row>
    <row r="166" spans="1:18" x14ac:dyDescent="0.25">
      <c r="A166" s="146" t="s">
        <v>151</v>
      </c>
      <c r="B166" s="150" t="s">
        <v>468</v>
      </c>
      <c r="C166" s="146">
        <v>4</v>
      </c>
      <c r="D166" s="146">
        <v>7</v>
      </c>
      <c r="E166" s="146" t="s">
        <v>534</v>
      </c>
      <c r="F166" s="146">
        <v>59</v>
      </c>
      <c r="G166" s="147">
        <v>408.27</v>
      </c>
      <c r="H166" s="147">
        <v>481.76</v>
      </c>
      <c r="I166" s="147">
        <v>1564.13</v>
      </c>
      <c r="J166" s="147">
        <v>270.99</v>
      </c>
      <c r="K166" s="147">
        <v>2316.88</v>
      </c>
      <c r="L166" s="147">
        <v>1204.4000000000001</v>
      </c>
      <c r="M166" s="146" t="s">
        <v>21</v>
      </c>
      <c r="N166" s="146" t="s">
        <v>21</v>
      </c>
      <c r="O166" s="146" t="s">
        <v>21</v>
      </c>
      <c r="P166" s="147">
        <v>0</v>
      </c>
      <c r="Q166" s="147">
        <v>1204.4000000000001</v>
      </c>
      <c r="R166" s="147">
        <v>3521.28</v>
      </c>
    </row>
    <row r="167" spans="1:18" x14ac:dyDescent="0.25">
      <c r="A167" s="146" t="s">
        <v>469</v>
      </c>
      <c r="B167" s="150" t="s">
        <v>470</v>
      </c>
      <c r="C167" s="146">
        <v>1</v>
      </c>
      <c r="D167" s="146">
        <v>7</v>
      </c>
      <c r="E167" s="146" t="s">
        <v>534</v>
      </c>
      <c r="F167" s="146">
        <v>59</v>
      </c>
      <c r="G167" s="147">
        <v>330.57</v>
      </c>
      <c r="H167" s="147">
        <v>390.07</v>
      </c>
      <c r="I167" s="147">
        <v>1175.28</v>
      </c>
      <c r="J167" s="147">
        <v>219.42</v>
      </c>
      <c r="K167" s="147">
        <v>1784.77</v>
      </c>
      <c r="L167" s="147">
        <v>975.18</v>
      </c>
      <c r="M167" s="146" t="s">
        <v>21</v>
      </c>
      <c r="N167" s="146" t="s">
        <v>21</v>
      </c>
      <c r="O167" s="146" t="s">
        <v>21</v>
      </c>
      <c r="P167" s="147">
        <v>0</v>
      </c>
      <c r="Q167" s="147">
        <v>975.18</v>
      </c>
      <c r="R167" s="147">
        <v>2759.95</v>
      </c>
    </row>
    <row r="168" spans="1:18" x14ac:dyDescent="0.25">
      <c r="A168" s="146" t="s">
        <v>152</v>
      </c>
      <c r="B168" s="150" t="s">
        <v>471</v>
      </c>
      <c r="C168" s="146">
        <v>4</v>
      </c>
      <c r="D168" s="146">
        <v>7</v>
      </c>
      <c r="E168" s="146" t="s">
        <v>534</v>
      </c>
      <c r="F168" s="146">
        <v>59</v>
      </c>
      <c r="G168" s="147">
        <v>630.26</v>
      </c>
      <c r="H168" s="147">
        <v>743.71</v>
      </c>
      <c r="I168" s="147">
        <v>2793.73</v>
      </c>
      <c r="J168" s="147">
        <v>418.34</v>
      </c>
      <c r="K168" s="147">
        <v>3955.78</v>
      </c>
      <c r="L168" s="147">
        <v>1859.27</v>
      </c>
      <c r="M168" s="146" t="s">
        <v>21</v>
      </c>
      <c r="N168" s="146" t="s">
        <v>21</v>
      </c>
      <c r="O168" s="146" t="s">
        <v>21</v>
      </c>
      <c r="P168" s="147">
        <v>0</v>
      </c>
      <c r="Q168" s="147">
        <v>1859.27</v>
      </c>
      <c r="R168" s="147">
        <v>5815.05</v>
      </c>
    </row>
    <row r="169" spans="1:18" x14ac:dyDescent="0.25">
      <c r="A169" s="146" t="s">
        <v>153</v>
      </c>
      <c r="B169" s="150" t="s">
        <v>472</v>
      </c>
      <c r="C169" s="146">
        <v>4</v>
      </c>
      <c r="D169" s="146">
        <v>7</v>
      </c>
      <c r="E169" s="146" t="s">
        <v>534</v>
      </c>
      <c r="F169" s="146">
        <v>59</v>
      </c>
      <c r="G169" s="147">
        <v>457.01</v>
      </c>
      <c r="H169" s="147">
        <v>539.27</v>
      </c>
      <c r="I169" s="147">
        <v>1910.61</v>
      </c>
      <c r="J169" s="147">
        <v>303.33999999999997</v>
      </c>
      <c r="K169" s="147">
        <v>2753.22</v>
      </c>
      <c r="L169" s="147">
        <v>1348.18</v>
      </c>
      <c r="M169" s="146" t="s">
        <v>21</v>
      </c>
      <c r="N169" s="146" t="s">
        <v>21</v>
      </c>
      <c r="O169" s="146" t="s">
        <v>21</v>
      </c>
      <c r="P169" s="147">
        <v>0</v>
      </c>
      <c r="Q169" s="147">
        <v>1348.18</v>
      </c>
      <c r="R169" s="147">
        <v>4101.3999999999996</v>
      </c>
    </row>
    <row r="170" spans="1:18" x14ac:dyDescent="0.25">
      <c r="A170" s="146" t="s">
        <v>473</v>
      </c>
      <c r="B170" s="150" t="s">
        <v>474</v>
      </c>
      <c r="C170" s="146">
        <v>1</v>
      </c>
      <c r="D170" s="146">
        <v>7</v>
      </c>
      <c r="E170" s="146" t="s">
        <v>534</v>
      </c>
      <c r="F170" s="146">
        <v>59</v>
      </c>
      <c r="G170" s="147">
        <v>330.57</v>
      </c>
      <c r="H170" s="147">
        <v>390.07</v>
      </c>
      <c r="I170" s="147">
        <v>1175.28</v>
      </c>
      <c r="J170" s="147">
        <v>219.42</v>
      </c>
      <c r="K170" s="147">
        <v>1784.77</v>
      </c>
      <c r="L170" s="147">
        <v>975.18</v>
      </c>
      <c r="M170" s="146" t="s">
        <v>21</v>
      </c>
      <c r="N170" s="146" t="s">
        <v>21</v>
      </c>
      <c r="O170" s="146" t="s">
        <v>21</v>
      </c>
      <c r="P170" s="147">
        <v>0</v>
      </c>
      <c r="Q170" s="147">
        <v>975.18</v>
      </c>
      <c r="R170" s="147">
        <v>2759.95</v>
      </c>
    </row>
    <row r="171" spans="1:18" x14ac:dyDescent="0.25">
      <c r="A171" s="146" t="s">
        <v>154</v>
      </c>
      <c r="B171" s="150" t="s">
        <v>475</v>
      </c>
      <c r="C171" s="146">
        <v>1</v>
      </c>
      <c r="D171" s="146">
        <v>7</v>
      </c>
      <c r="E171" s="146" t="s">
        <v>534</v>
      </c>
      <c r="F171" s="146">
        <v>59</v>
      </c>
      <c r="G171" s="147">
        <v>330.57</v>
      </c>
      <c r="H171" s="147">
        <v>390.07</v>
      </c>
      <c r="I171" s="147">
        <v>1175.28</v>
      </c>
      <c r="J171" s="147">
        <v>219.42</v>
      </c>
      <c r="K171" s="147">
        <v>1784.77</v>
      </c>
      <c r="L171" s="147">
        <v>975.18</v>
      </c>
      <c r="M171" s="146" t="s">
        <v>21</v>
      </c>
      <c r="N171" s="146" t="s">
        <v>21</v>
      </c>
      <c r="O171" s="146" t="s">
        <v>21</v>
      </c>
      <c r="P171" s="147">
        <v>0</v>
      </c>
      <c r="Q171" s="147">
        <v>975.18</v>
      </c>
      <c r="R171" s="147">
        <v>2759.95</v>
      </c>
    </row>
    <row r="172" spans="1:18" x14ac:dyDescent="0.25">
      <c r="A172" s="146" t="s">
        <v>155</v>
      </c>
      <c r="B172" s="150" t="s">
        <v>476</v>
      </c>
      <c r="C172" s="146">
        <v>4</v>
      </c>
      <c r="D172" s="146">
        <v>7</v>
      </c>
      <c r="E172" s="146" t="s">
        <v>534</v>
      </c>
      <c r="F172" s="146">
        <v>59</v>
      </c>
      <c r="G172" s="147">
        <v>460.14</v>
      </c>
      <c r="H172" s="147">
        <v>542.97</v>
      </c>
      <c r="I172" s="147">
        <v>1923.69</v>
      </c>
      <c r="J172" s="147">
        <v>305.42</v>
      </c>
      <c r="K172" s="147">
        <v>2772.08</v>
      </c>
      <c r="L172" s="147">
        <v>1357.41</v>
      </c>
      <c r="M172" s="146" t="s">
        <v>21</v>
      </c>
      <c r="N172" s="146" t="s">
        <v>21</v>
      </c>
      <c r="O172" s="146" t="s">
        <v>21</v>
      </c>
      <c r="P172" s="147">
        <v>0</v>
      </c>
      <c r="Q172" s="147">
        <v>1357.41</v>
      </c>
      <c r="R172" s="147">
        <v>4129.49</v>
      </c>
    </row>
    <row r="173" spans="1:18" x14ac:dyDescent="0.25">
      <c r="A173" s="146" t="s">
        <v>477</v>
      </c>
      <c r="B173" s="150" t="s">
        <v>478</v>
      </c>
      <c r="C173" s="146">
        <v>4</v>
      </c>
      <c r="D173" s="146">
        <v>7</v>
      </c>
      <c r="E173" s="146" t="s">
        <v>535</v>
      </c>
      <c r="F173" s="146">
        <v>50</v>
      </c>
      <c r="G173" s="147">
        <v>357.16</v>
      </c>
      <c r="H173" s="147">
        <v>357.16</v>
      </c>
      <c r="I173" s="147">
        <v>1135.95</v>
      </c>
      <c r="J173" s="147">
        <v>200.9</v>
      </c>
      <c r="K173" s="147">
        <v>1694.01</v>
      </c>
      <c r="L173" s="147">
        <v>892.9</v>
      </c>
      <c r="M173" s="146" t="s">
        <v>21</v>
      </c>
      <c r="N173" s="146" t="s">
        <v>21</v>
      </c>
      <c r="O173" s="146" t="s">
        <v>21</v>
      </c>
      <c r="P173" s="147">
        <v>0</v>
      </c>
      <c r="Q173" s="147">
        <v>892.9</v>
      </c>
      <c r="R173" s="147">
        <v>2586.91</v>
      </c>
    </row>
    <row r="174" spans="1:18" x14ac:dyDescent="0.25">
      <c r="A174" s="146" t="s">
        <v>477</v>
      </c>
      <c r="B174" s="150" t="s">
        <v>478</v>
      </c>
      <c r="C174" s="146">
        <v>4</v>
      </c>
      <c r="D174" s="146">
        <v>9</v>
      </c>
      <c r="E174" s="146" t="s">
        <v>21</v>
      </c>
      <c r="F174" s="146">
        <v>9</v>
      </c>
      <c r="G174" s="147">
        <v>359.23</v>
      </c>
      <c r="H174" s="147">
        <v>64.66</v>
      </c>
      <c r="I174" s="147">
        <v>205.66</v>
      </c>
      <c r="J174" s="147">
        <v>36.369999999999997</v>
      </c>
      <c r="K174" s="147">
        <v>306.69</v>
      </c>
      <c r="L174" s="147">
        <v>161.65</v>
      </c>
      <c r="M174" s="146" t="s">
        <v>21</v>
      </c>
      <c r="N174" s="146" t="s">
        <v>21</v>
      </c>
      <c r="O174" s="146" t="s">
        <v>21</v>
      </c>
      <c r="P174" s="147">
        <v>0</v>
      </c>
      <c r="Q174" s="147">
        <v>161.65</v>
      </c>
      <c r="R174" s="147">
        <v>468.34</v>
      </c>
    </row>
    <row r="175" spans="1:18" x14ac:dyDescent="0.25">
      <c r="A175" s="146" t="s">
        <v>479</v>
      </c>
      <c r="B175" s="150" t="s">
        <v>480</v>
      </c>
      <c r="C175" s="146">
        <v>4</v>
      </c>
      <c r="D175" s="146">
        <v>7</v>
      </c>
      <c r="E175" s="146" t="s">
        <v>535</v>
      </c>
      <c r="F175" s="146">
        <v>50</v>
      </c>
      <c r="G175" s="147">
        <v>332.41</v>
      </c>
      <c r="H175" s="147">
        <v>332.41</v>
      </c>
      <c r="I175" s="147">
        <v>1001.55</v>
      </c>
      <c r="J175" s="147">
        <v>186.98</v>
      </c>
      <c r="K175" s="147">
        <v>1520.94</v>
      </c>
      <c r="L175" s="147">
        <v>831.03</v>
      </c>
      <c r="M175" s="146" t="s">
        <v>21</v>
      </c>
      <c r="N175" s="146" t="s">
        <v>21</v>
      </c>
      <c r="O175" s="146" t="s">
        <v>21</v>
      </c>
      <c r="P175" s="147">
        <v>0</v>
      </c>
      <c r="Q175" s="147">
        <v>831.03</v>
      </c>
      <c r="R175" s="147">
        <v>2351.9699999999998</v>
      </c>
    </row>
    <row r="176" spans="1:18" x14ac:dyDescent="0.25">
      <c r="A176" s="146" t="s">
        <v>479</v>
      </c>
      <c r="B176" s="150" t="s">
        <v>480</v>
      </c>
      <c r="C176" s="146">
        <v>4</v>
      </c>
      <c r="D176" s="146">
        <v>9</v>
      </c>
      <c r="E176" s="146" t="s">
        <v>21</v>
      </c>
      <c r="F176" s="146">
        <v>9</v>
      </c>
      <c r="G176" s="147">
        <v>377.4</v>
      </c>
      <c r="H176" s="147">
        <v>67.930000000000007</v>
      </c>
      <c r="I176" s="147">
        <v>216.06</v>
      </c>
      <c r="J176" s="147">
        <v>38.21</v>
      </c>
      <c r="K176" s="147">
        <v>322.2</v>
      </c>
      <c r="L176" s="147">
        <v>169.83</v>
      </c>
      <c r="M176" s="146" t="s">
        <v>21</v>
      </c>
      <c r="N176" s="146" t="s">
        <v>21</v>
      </c>
      <c r="O176" s="146" t="s">
        <v>21</v>
      </c>
      <c r="P176" s="147">
        <v>0</v>
      </c>
      <c r="Q176" s="147">
        <v>169.83</v>
      </c>
      <c r="R176" s="147">
        <v>492.03</v>
      </c>
    </row>
    <row r="177" spans="1:18" x14ac:dyDescent="0.25">
      <c r="A177" s="146" t="s">
        <v>156</v>
      </c>
      <c r="B177" s="150" t="s">
        <v>481</v>
      </c>
      <c r="C177" s="146">
        <v>4</v>
      </c>
      <c r="D177" s="146">
        <v>9</v>
      </c>
      <c r="E177" s="146" t="s">
        <v>21</v>
      </c>
      <c r="F177" s="146">
        <v>59</v>
      </c>
      <c r="G177" s="147">
        <v>475.23</v>
      </c>
      <c r="H177" s="147">
        <v>560.77</v>
      </c>
      <c r="I177" s="147">
        <v>2106.5300000000002</v>
      </c>
      <c r="J177" s="147">
        <v>315.43</v>
      </c>
      <c r="K177" s="147">
        <v>2982.73</v>
      </c>
      <c r="L177" s="147">
        <v>1401.93</v>
      </c>
      <c r="M177" s="146" t="s">
        <v>21</v>
      </c>
      <c r="N177" s="146" t="s">
        <v>21</v>
      </c>
      <c r="O177" s="146" t="s">
        <v>21</v>
      </c>
      <c r="P177" s="147">
        <v>0</v>
      </c>
      <c r="Q177" s="147">
        <v>1401.93</v>
      </c>
      <c r="R177" s="147">
        <v>4384.66</v>
      </c>
    </row>
    <row r="178" spans="1:18" x14ac:dyDescent="0.25">
      <c r="A178" s="146" t="s">
        <v>157</v>
      </c>
      <c r="B178" s="150" t="s">
        <v>482</v>
      </c>
      <c r="C178" s="146">
        <v>4</v>
      </c>
      <c r="D178" s="146">
        <v>7</v>
      </c>
      <c r="E178" s="146" t="s">
        <v>534</v>
      </c>
      <c r="F178" s="146">
        <v>59</v>
      </c>
      <c r="G178" s="147">
        <v>523.79</v>
      </c>
      <c r="H178" s="147">
        <v>618.07000000000005</v>
      </c>
      <c r="I178" s="147">
        <v>2321.79</v>
      </c>
      <c r="J178" s="147">
        <v>347.67</v>
      </c>
      <c r="K178" s="147">
        <v>3287.53</v>
      </c>
      <c r="L178" s="147">
        <v>1545.18</v>
      </c>
      <c r="M178" s="146" t="s">
        <v>21</v>
      </c>
      <c r="N178" s="146" t="s">
        <v>21</v>
      </c>
      <c r="O178" s="146" t="s">
        <v>21</v>
      </c>
      <c r="P178" s="147">
        <v>0</v>
      </c>
      <c r="Q178" s="147">
        <v>1545.18</v>
      </c>
      <c r="R178" s="147">
        <v>4832.71</v>
      </c>
    </row>
    <row r="179" spans="1:18" x14ac:dyDescent="0.25">
      <c r="A179" s="146" t="s">
        <v>158</v>
      </c>
      <c r="B179" s="150" t="s">
        <v>483</v>
      </c>
      <c r="C179" s="146">
        <v>4</v>
      </c>
      <c r="D179" s="146">
        <v>7</v>
      </c>
      <c r="E179" s="146" t="s">
        <v>534</v>
      </c>
      <c r="F179" s="146">
        <v>59</v>
      </c>
      <c r="G179" s="147">
        <v>791.4</v>
      </c>
      <c r="H179" s="147">
        <v>933.85</v>
      </c>
      <c r="I179" s="147">
        <v>3508.01</v>
      </c>
      <c r="J179" s="147">
        <v>525.29</v>
      </c>
      <c r="K179" s="147">
        <v>4967.1499999999996</v>
      </c>
      <c r="L179" s="147">
        <v>2334.63</v>
      </c>
      <c r="M179" s="146" t="s">
        <v>21</v>
      </c>
      <c r="N179" s="146" t="s">
        <v>21</v>
      </c>
      <c r="O179" s="146" t="s">
        <v>21</v>
      </c>
      <c r="P179" s="147">
        <v>0</v>
      </c>
      <c r="Q179" s="147">
        <v>2334.63</v>
      </c>
      <c r="R179" s="147">
        <v>7301.78</v>
      </c>
    </row>
    <row r="180" spans="1:18" x14ac:dyDescent="0.25">
      <c r="A180" s="146" t="s">
        <v>159</v>
      </c>
      <c r="B180" s="150" t="s">
        <v>484</v>
      </c>
      <c r="C180" s="146">
        <v>4</v>
      </c>
      <c r="D180" s="146">
        <v>7</v>
      </c>
      <c r="E180" s="146" t="s">
        <v>534</v>
      </c>
      <c r="F180" s="146">
        <v>59</v>
      </c>
      <c r="G180" s="147">
        <v>2259.2399999999998</v>
      </c>
      <c r="H180" s="147">
        <v>2665.9</v>
      </c>
      <c r="I180" s="147">
        <v>10014.469999999999</v>
      </c>
      <c r="J180" s="147">
        <v>1499.57</v>
      </c>
      <c r="K180" s="147">
        <v>14179.94</v>
      </c>
      <c r="L180" s="147">
        <v>6664.76</v>
      </c>
      <c r="M180" s="146" t="s">
        <v>21</v>
      </c>
      <c r="N180" s="146" t="s">
        <v>21</v>
      </c>
      <c r="O180" s="146" t="s">
        <v>21</v>
      </c>
      <c r="P180" s="147">
        <v>0</v>
      </c>
      <c r="Q180" s="147">
        <v>6664.76</v>
      </c>
      <c r="R180" s="147">
        <v>20844.7</v>
      </c>
    </row>
    <row r="181" spans="1:18" x14ac:dyDescent="0.25">
      <c r="A181" s="146" t="s">
        <v>160</v>
      </c>
      <c r="B181" s="150" t="s">
        <v>485</v>
      </c>
      <c r="C181" s="146">
        <v>4</v>
      </c>
      <c r="D181" s="146">
        <v>7</v>
      </c>
      <c r="E181" s="146" t="s">
        <v>534</v>
      </c>
      <c r="F181" s="146">
        <v>59</v>
      </c>
      <c r="G181" s="147">
        <v>1005.61</v>
      </c>
      <c r="H181" s="147">
        <v>1186.6199999999999</v>
      </c>
      <c r="I181" s="147">
        <v>4457.54</v>
      </c>
      <c r="J181" s="147">
        <v>667.47</v>
      </c>
      <c r="K181" s="147">
        <v>6311.63</v>
      </c>
      <c r="L181" s="147">
        <v>2966.55</v>
      </c>
      <c r="M181" s="146" t="s">
        <v>21</v>
      </c>
      <c r="N181" s="146" t="s">
        <v>21</v>
      </c>
      <c r="O181" s="146" t="s">
        <v>21</v>
      </c>
      <c r="P181" s="147">
        <v>0</v>
      </c>
      <c r="Q181" s="147">
        <v>2966.55</v>
      </c>
      <c r="R181" s="147">
        <v>9278.18</v>
      </c>
    </row>
    <row r="182" spans="1:18" x14ac:dyDescent="0.25">
      <c r="A182" s="146" t="s">
        <v>161</v>
      </c>
      <c r="B182" s="150" t="s">
        <v>486</v>
      </c>
      <c r="C182" s="146">
        <v>4</v>
      </c>
      <c r="D182" s="146">
        <v>7</v>
      </c>
      <c r="E182" s="146" t="s">
        <v>534</v>
      </c>
      <c r="F182" s="146">
        <v>59</v>
      </c>
      <c r="G182" s="147">
        <v>501.07</v>
      </c>
      <c r="H182" s="147">
        <v>591.26</v>
      </c>
      <c r="I182" s="147">
        <v>2221.08</v>
      </c>
      <c r="J182" s="147">
        <v>332.59</v>
      </c>
      <c r="K182" s="147">
        <v>3144.93</v>
      </c>
      <c r="L182" s="147">
        <v>1478.16</v>
      </c>
      <c r="M182" s="146" t="s">
        <v>21</v>
      </c>
      <c r="N182" s="146" t="s">
        <v>21</v>
      </c>
      <c r="O182" s="146" t="s">
        <v>21</v>
      </c>
      <c r="P182" s="147">
        <v>0</v>
      </c>
      <c r="Q182" s="147">
        <v>1478.16</v>
      </c>
      <c r="R182" s="147">
        <v>4623.09</v>
      </c>
    </row>
    <row r="183" spans="1:18" x14ac:dyDescent="0.25">
      <c r="A183" s="146" t="s">
        <v>487</v>
      </c>
      <c r="B183" s="150" t="s">
        <v>488</v>
      </c>
      <c r="C183" s="146">
        <v>4</v>
      </c>
      <c r="D183" s="146">
        <v>9</v>
      </c>
      <c r="E183" s="146" t="s">
        <v>21</v>
      </c>
      <c r="F183" s="146">
        <v>9</v>
      </c>
      <c r="G183" s="147">
        <v>632.39</v>
      </c>
      <c r="H183" s="147">
        <v>113.83</v>
      </c>
      <c r="I183" s="147">
        <v>427.6</v>
      </c>
      <c r="J183" s="147">
        <v>64.03</v>
      </c>
      <c r="K183" s="147">
        <v>605.46</v>
      </c>
      <c r="L183" s="147">
        <v>284.58</v>
      </c>
      <c r="M183" s="146" t="s">
        <v>21</v>
      </c>
      <c r="N183" s="146" t="s">
        <v>21</v>
      </c>
      <c r="O183" s="146" t="s">
        <v>21</v>
      </c>
      <c r="P183" s="147">
        <v>0</v>
      </c>
      <c r="Q183" s="147">
        <v>284.58</v>
      </c>
      <c r="R183" s="147">
        <v>890.04</v>
      </c>
    </row>
    <row r="184" spans="1:18" x14ac:dyDescent="0.25">
      <c r="A184" s="146" t="s">
        <v>487</v>
      </c>
      <c r="B184" s="150" t="s">
        <v>488</v>
      </c>
      <c r="C184" s="146">
        <v>4</v>
      </c>
      <c r="D184" s="146">
        <v>7</v>
      </c>
      <c r="E184" s="146" t="s">
        <v>535</v>
      </c>
      <c r="F184" s="146">
        <v>50</v>
      </c>
      <c r="G184" s="147">
        <v>613.33000000000004</v>
      </c>
      <c r="H184" s="147">
        <v>613.33000000000004</v>
      </c>
      <c r="I184" s="147">
        <v>2303.98</v>
      </c>
      <c r="J184" s="147">
        <v>345</v>
      </c>
      <c r="K184" s="147">
        <v>3262.31</v>
      </c>
      <c r="L184" s="147">
        <v>1533.33</v>
      </c>
      <c r="M184" s="146" t="s">
        <v>21</v>
      </c>
      <c r="N184" s="146" t="s">
        <v>21</v>
      </c>
      <c r="O184" s="146" t="s">
        <v>21</v>
      </c>
      <c r="P184" s="147">
        <v>0</v>
      </c>
      <c r="Q184" s="147">
        <v>1533.33</v>
      </c>
      <c r="R184" s="147">
        <v>4795.6400000000003</v>
      </c>
    </row>
    <row r="185" spans="1:18" x14ac:dyDescent="0.25">
      <c r="A185" s="146" t="s">
        <v>162</v>
      </c>
      <c r="B185" s="150" t="s">
        <v>489</v>
      </c>
      <c r="C185" s="146">
        <v>4</v>
      </c>
      <c r="D185" s="146">
        <v>7</v>
      </c>
      <c r="E185" s="146" t="s">
        <v>534</v>
      </c>
      <c r="F185" s="146">
        <v>59</v>
      </c>
      <c r="G185" s="147">
        <v>436.24</v>
      </c>
      <c r="H185" s="147">
        <v>514.76</v>
      </c>
      <c r="I185" s="147">
        <v>1702.07</v>
      </c>
      <c r="J185" s="147">
        <v>289.55</v>
      </c>
      <c r="K185" s="147">
        <v>2506.38</v>
      </c>
      <c r="L185" s="147">
        <v>1286.9100000000001</v>
      </c>
      <c r="M185" s="146" t="s">
        <v>21</v>
      </c>
      <c r="N185" s="146" t="s">
        <v>21</v>
      </c>
      <c r="O185" s="146" t="s">
        <v>21</v>
      </c>
      <c r="P185" s="147">
        <v>0</v>
      </c>
      <c r="Q185" s="147">
        <v>1286.9100000000001</v>
      </c>
      <c r="R185" s="147">
        <v>3793.29</v>
      </c>
    </row>
    <row r="186" spans="1:18" x14ac:dyDescent="0.25">
      <c r="A186" s="146" t="s">
        <v>163</v>
      </c>
      <c r="B186" s="150" t="s">
        <v>490</v>
      </c>
      <c r="C186" s="146">
        <v>4</v>
      </c>
      <c r="D186" s="146">
        <v>7</v>
      </c>
      <c r="E186" s="146" t="s">
        <v>534</v>
      </c>
      <c r="F186" s="146">
        <v>59</v>
      </c>
      <c r="G186" s="147">
        <v>491.53</v>
      </c>
      <c r="H186" s="147">
        <v>580.01</v>
      </c>
      <c r="I186" s="147">
        <v>2178.79</v>
      </c>
      <c r="J186" s="147">
        <v>326.25</v>
      </c>
      <c r="K186" s="147">
        <v>3085.05</v>
      </c>
      <c r="L186" s="147">
        <v>1450.01</v>
      </c>
      <c r="M186" s="146" t="s">
        <v>21</v>
      </c>
      <c r="N186" s="146" t="s">
        <v>21</v>
      </c>
      <c r="O186" s="146" t="s">
        <v>21</v>
      </c>
      <c r="P186" s="147">
        <v>0</v>
      </c>
      <c r="Q186" s="147">
        <v>1450.01</v>
      </c>
      <c r="R186" s="147">
        <v>4535.0600000000004</v>
      </c>
    </row>
    <row r="187" spans="1:18" x14ac:dyDescent="0.25">
      <c r="A187" s="146" t="s">
        <v>164</v>
      </c>
      <c r="B187" s="150" t="s">
        <v>491</v>
      </c>
      <c r="C187" s="146">
        <v>4</v>
      </c>
      <c r="D187" s="146">
        <v>7</v>
      </c>
      <c r="E187" s="146" t="s">
        <v>534</v>
      </c>
      <c r="F187" s="146">
        <v>59</v>
      </c>
      <c r="G187" s="147">
        <v>464.93</v>
      </c>
      <c r="H187" s="147">
        <v>548.62</v>
      </c>
      <c r="I187" s="147">
        <v>1943.72</v>
      </c>
      <c r="J187" s="147">
        <v>308.60000000000002</v>
      </c>
      <c r="K187" s="147">
        <v>2800.94</v>
      </c>
      <c r="L187" s="147">
        <v>1371.54</v>
      </c>
      <c r="M187" s="146" t="s">
        <v>21</v>
      </c>
      <c r="N187" s="146" t="s">
        <v>21</v>
      </c>
      <c r="O187" s="146" t="s">
        <v>21</v>
      </c>
      <c r="P187" s="147">
        <v>0</v>
      </c>
      <c r="Q187" s="147">
        <v>1371.54</v>
      </c>
      <c r="R187" s="147">
        <v>4172.4799999999996</v>
      </c>
    </row>
    <row r="188" spans="1:18" x14ac:dyDescent="0.25">
      <c r="A188" s="146" t="s">
        <v>165</v>
      </c>
      <c r="B188" s="150" t="s">
        <v>492</v>
      </c>
      <c r="C188" s="146">
        <v>4</v>
      </c>
      <c r="D188" s="146">
        <v>7</v>
      </c>
      <c r="E188" s="146" t="s">
        <v>534</v>
      </c>
      <c r="F188" s="146">
        <v>59</v>
      </c>
      <c r="G188" s="147">
        <v>1085.93</v>
      </c>
      <c r="H188" s="147">
        <v>1281.4000000000001</v>
      </c>
      <c r="I188" s="147">
        <v>4813.57</v>
      </c>
      <c r="J188" s="147">
        <v>720.79</v>
      </c>
      <c r="K188" s="147">
        <v>6815.76</v>
      </c>
      <c r="L188" s="147">
        <v>3203.49</v>
      </c>
      <c r="M188" s="146" t="s">
        <v>21</v>
      </c>
      <c r="N188" s="146" t="s">
        <v>21</v>
      </c>
      <c r="O188" s="146" t="s">
        <v>21</v>
      </c>
      <c r="P188" s="147">
        <v>0</v>
      </c>
      <c r="Q188" s="147">
        <v>3203.49</v>
      </c>
      <c r="R188" s="147">
        <v>10019.25</v>
      </c>
    </row>
    <row r="189" spans="1:18" x14ac:dyDescent="0.25">
      <c r="A189" s="146" t="s">
        <v>166</v>
      </c>
      <c r="B189" s="150" t="s">
        <v>493</v>
      </c>
      <c r="C189" s="146">
        <v>4</v>
      </c>
      <c r="D189" s="146">
        <v>7</v>
      </c>
      <c r="E189" s="146" t="s">
        <v>534</v>
      </c>
      <c r="F189" s="146">
        <v>59</v>
      </c>
      <c r="G189" s="147">
        <v>435.34</v>
      </c>
      <c r="H189" s="147">
        <v>513.70000000000005</v>
      </c>
      <c r="I189" s="147">
        <v>1698.55</v>
      </c>
      <c r="J189" s="147">
        <v>288.95999999999998</v>
      </c>
      <c r="K189" s="147">
        <v>2501.21</v>
      </c>
      <c r="L189" s="147">
        <v>1284.25</v>
      </c>
      <c r="M189" s="146" t="s">
        <v>21</v>
      </c>
      <c r="N189" s="146" t="s">
        <v>21</v>
      </c>
      <c r="O189" s="146" t="s">
        <v>21</v>
      </c>
      <c r="P189" s="147">
        <v>0</v>
      </c>
      <c r="Q189" s="147">
        <v>1284.25</v>
      </c>
      <c r="R189" s="147">
        <v>3785.46</v>
      </c>
    </row>
    <row r="190" spans="1:18" x14ac:dyDescent="0.25">
      <c r="A190" s="146" t="s">
        <v>167</v>
      </c>
      <c r="B190" s="150" t="s">
        <v>494</v>
      </c>
      <c r="C190" s="146">
        <v>4</v>
      </c>
      <c r="D190" s="146">
        <v>7</v>
      </c>
      <c r="E190" s="146" t="s">
        <v>534</v>
      </c>
      <c r="F190" s="146">
        <v>59</v>
      </c>
      <c r="G190" s="147">
        <v>628.25</v>
      </c>
      <c r="H190" s="147">
        <v>741.34</v>
      </c>
      <c r="I190" s="147">
        <v>2784.82</v>
      </c>
      <c r="J190" s="147">
        <v>417</v>
      </c>
      <c r="K190" s="147">
        <v>3943.16</v>
      </c>
      <c r="L190" s="147">
        <v>1853.34</v>
      </c>
      <c r="M190" s="146" t="s">
        <v>21</v>
      </c>
      <c r="N190" s="146" t="s">
        <v>21</v>
      </c>
      <c r="O190" s="146" t="s">
        <v>21</v>
      </c>
      <c r="P190" s="147">
        <v>0</v>
      </c>
      <c r="Q190" s="147">
        <v>1853.34</v>
      </c>
      <c r="R190" s="147">
        <v>5796.5</v>
      </c>
    </row>
    <row r="191" spans="1:18" x14ac:dyDescent="0.25">
      <c r="A191" s="146" t="s">
        <v>168</v>
      </c>
      <c r="B191" s="150" t="s">
        <v>495</v>
      </c>
      <c r="C191" s="146">
        <v>4</v>
      </c>
      <c r="D191" s="146">
        <v>7</v>
      </c>
      <c r="E191" s="146" t="s">
        <v>534</v>
      </c>
      <c r="F191" s="146">
        <v>59</v>
      </c>
      <c r="G191" s="147">
        <v>436.5</v>
      </c>
      <c r="H191" s="147">
        <v>515.07000000000005</v>
      </c>
      <c r="I191" s="147">
        <v>1703.08</v>
      </c>
      <c r="J191" s="147">
        <v>289.73</v>
      </c>
      <c r="K191" s="147">
        <v>2507.88</v>
      </c>
      <c r="L191" s="147">
        <v>1287.68</v>
      </c>
      <c r="M191" s="146" t="s">
        <v>21</v>
      </c>
      <c r="N191" s="146" t="s">
        <v>21</v>
      </c>
      <c r="O191" s="146" t="s">
        <v>21</v>
      </c>
      <c r="P191" s="147">
        <v>0</v>
      </c>
      <c r="Q191" s="147">
        <v>1287.68</v>
      </c>
      <c r="R191" s="147">
        <v>3795.56</v>
      </c>
    </row>
    <row r="192" spans="1:18" x14ac:dyDescent="0.25">
      <c r="A192" s="146" t="s">
        <v>169</v>
      </c>
      <c r="B192" s="150" t="s">
        <v>496</v>
      </c>
      <c r="C192" s="146">
        <v>4</v>
      </c>
      <c r="D192" s="146">
        <v>7</v>
      </c>
      <c r="E192" s="146" t="s">
        <v>534</v>
      </c>
      <c r="F192" s="146">
        <v>59</v>
      </c>
      <c r="G192" s="147">
        <v>489.76</v>
      </c>
      <c r="H192" s="147">
        <v>577.91999999999996</v>
      </c>
      <c r="I192" s="147">
        <v>2170.9499999999998</v>
      </c>
      <c r="J192" s="147">
        <v>325.08</v>
      </c>
      <c r="K192" s="147">
        <v>3073.95</v>
      </c>
      <c r="L192" s="147">
        <v>1444.79</v>
      </c>
      <c r="M192" s="146" t="s">
        <v>21</v>
      </c>
      <c r="N192" s="146" t="s">
        <v>21</v>
      </c>
      <c r="O192" s="146" t="s">
        <v>21</v>
      </c>
      <c r="P192" s="147">
        <v>0</v>
      </c>
      <c r="Q192" s="147">
        <v>1444.79</v>
      </c>
      <c r="R192" s="147">
        <v>4518.74</v>
      </c>
    </row>
    <row r="193" spans="1:18" x14ac:dyDescent="0.25">
      <c r="A193" s="146" t="s">
        <v>170</v>
      </c>
      <c r="B193" s="150" t="s">
        <v>497</v>
      </c>
      <c r="C193" s="146">
        <v>4</v>
      </c>
      <c r="D193" s="146">
        <v>7</v>
      </c>
      <c r="E193" s="146" t="s">
        <v>534</v>
      </c>
      <c r="F193" s="146">
        <v>59</v>
      </c>
      <c r="G193" s="147">
        <v>436.24</v>
      </c>
      <c r="H193" s="147">
        <v>514.76</v>
      </c>
      <c r="I193" s="147">
        <v>1702.07</v>
      </c>
      <c r="J193" s="147">
        <v>289.55</v>
      </c>
      <c r="K193" s="147">
        <v>2506.38</v>
      </c>
      <c r="L193" s="147">
        <v>1286.9100000000001</v>
      </c>
      <c r="M193" s="146" t="s">
        <v>21</v>
      </c>
      <c r="N193" s="146" t="s">
        <v>21</v>
      </c>
      <c r="O193" s="146" t="s">
        <v>21</v>
      </c>
      <c r="P193" s="147">
        <v>0</v>
      </c>
      <c r="Q193" s="147">
        <v>1286.9100000000001</v>
      </c>
      <c r="R193" s="147">
        <v>3793.29</v>
      </c>
    </row>
    <row r="194" spans="1:18" x14ac:dyDescent="0.25">
      <c r="A194" s="146" t="s">
        <v>171</v>
      </c>
      <c r="B194" s="150" t="s">
        <v>498</v>
      </c>
      <c r="C194" s="146">
        <v>4</v>
      </c>
      <c r="D194" s="146">
        <v>7</v>
      </c>
      <c r="E194" s="146" t="s">
        <v>534</v>
      </c>
      <c r="F194" s="146">
        <v>59</v>
      </c>
      <c r="G194" s="147">
        <v>560.66999999999996</v>
      </c>
      <c r="H194" s="147">
        <v>661.59</v>
      </c>
      <c r="I194" s="147">
        <v>2485.27</v>
      </c>
      <c r="J194" s="147">
        <v>372.14</v>
      </c>
      <c r="K194" s="147">
        <v>3519</v>
      </c>
      <c r="L194" s="147">
        <v>1653.98</v>
      </c>
      <c r="M194" s="146" t="s">
        <v>21</v>
      </c>
      <c r="N194" s="146" t="s">
        <v>21</v>
      </c>
      <c r="O194" s="146" t="s">
        <v>21</v>
      </c>
      <c r="P194" s="147">
        <v>0</v>
      </c>
      <c r="Q194" s="147">
        <v>1653.98</v>
      </c>
      <c r="R194" s="147">
        <v>5172.9799999999996</v>
      </c>
    </row>
    <row r="195" spans="1:18" x14ac:dyDescent="0.25">
      <c r="A195" s="146" t="s">
        <v>172</v>
      </c>
      <c r="B195" s="150" t="s">
        <v>499</v>
      </c>
      <c r="C195" s="146">
        <v>4</v>
      </c>
      <c r="D195" s="146">
        <v>7</v>
      </c>
      <c r="E195" s="146" t="s">
        <v>534</v>
      </c>
      <c r="F195" s="146">
        <v>59</v>
      </c>
      <c r="G195" s="147">
        <v>464.94</v>
      </c>
      <c r="H195" s="147">
        <v>548.63</v>
      </c>
      <c r="I195" s="147">
        <v>1943.76</v>
      </c>
      <c r="J195" s="147">
        <v>308.60000000000002</v>
      </c>
      <c r="K195" s="147">
        <v>2800.99</v>
      </c>
      <c r="L195" s="147">
        <v>1371.57</v>
      </c>
      <c r="M195" s="146" t="s">
        <v>21</v>
      </c>
      <c r="N195" s="146" t="s">
        <v>21</v>
      </c>
      <c r="O195" s="146" t="s">
        <v>21</v>
      </c>
      <c r="P195" s="147">
        <v>0</v>
      </c>
      <c r="Q195" s="147">
        <v>1371.57</v>
      </c>
      <c r="R195" s="147">
        <v>4172.5600000000004</v>
      </c>
    </row>
    <row r="196" spans="1:18" x14ac:dyDescent="0.25">
      <c r="A196" s="146" t="s">
        <v>173</v>
      </c>
      <c r="B196" s="150" t="s">
        <v>500</v>
      </c>
      <c r="C196" s="146">
        <v>4</v>
      </c>
      <c r="D196" s="146">
        <v>7</v>
      </c>
      <c r="E196" s="146" t="s">
        <v>534</v>
      </c>
      <c r="F196" s="146">
        <v>59</v>
      </c>
      <c r="G196" s="147">
        <v>560.08000000000004</v>
      </c>
      <c r="H196" s="147">
        <v>660.89</v>
      </c>
      <c r="I196" s="147">
        <v>2482.65</v>
      </c>
      <c r="J196" s="147">
        <v>371.75</v>
      </c>
      <c r="K196" s="147">
        <v>3515.29</v>
      </c>
      <c r="L196" s="147">
        <v>1652.24</v>
      </c>
      <c r="M196" s="146" t="s">
        <v>21</v>
      </c>
      <c r="N196" s="146" t="s">
        <v>21</v>
      </c>
      <c r="O196" s="146" t="s">
        <v>21</v>
      </c>
      <c r="P196" s="147">
        <v>0</v>
      </c>
      <c r="Q196" s="147">
        <v>1652.24</v>
      </c>
      <c r="R196" s="147">
        <v>5167.53</v>
      </c>
    </row>
    <row r="197" spans="1:18" x14ac:dyDescent="0.25">
      <c r="A197" s="146" t="s">
        <v>174</v>
      </c>
      <c r="B197" s="150" t="s">
        <v>501</v>
      </c>
      <c r="C197" s="146">
        <v>1</v>
      </c>
      <c r="D197" s="146">
        <v>7</v>
      </c>
      <c r="E197" s="146" t="s">
        <v>534</v>
      </c>
      <c r="F197" s="146">
        <v>59</v>
      </c>
      <c r="G197" s="147">
        <v>330.57</v>
      </c>
      <c r="H197" s="147">
        <v>390.07</v>
      </c>
      <c r="I197" s="147">
        <v>1175.28</v>
      </c>
      <c r="J197" s="147">
        <v>219.42</v>
      </c>
      <c r="K197" s="147">
        <v>1784.77</v>
      </c>
      <c r="L197" s="147">
        <v>975.18</v>
      </c>
      <c r="M197" s="146" t="s">
        <v>21</v>
      </c>
      <c r="N197" s="146" t="s">
        <v>21</v>
      </c>
      <c r="O197" s="146" t="s">
        <v>21</v>
      </c>
      <c r="P197" s="147">
        <v>0</v>
      </c>
      <c r="Q197" s="147">
        <v>975.18</v>
      </c>
      <c r="R197" s="147">
        <v>2759.95</v>
      </c>
    </row>
    <row r="198" spans="1:18" x14ac:dyDescent="0.25">
      <c r="A198" s="146" t="s">
        <v>175</v>
      </c>
      <c r="B198" s="150" t="s">
        <v>502</v>
      </c>
      <c r="C198" s="146">
        <v>4</v>
      </c>
      <c r="D198" s="146">
        <v>7</v>
      </c>
      <c r="E198" s="146" t="s">
        <v>534</v>
      </c>
      <c r="F198" s="146">
        <v>59</v>
      </c>
      <c r="G198" s="147">
        <v>463.96</v>
      </c>
      <c r="H198" s="147">
        <v>547.47</v>
      </c>
      <c r="I198" s="147">
        <v>1939.67</v>
      </c>
      <c r="J198" s="147">
        <v>307.95</v>
      </c>
      <c r="K198" s="147">
        <v>2795.09</v>
      </c>
      <c r="L198" s="147">
        <v>1368.68</v>
      </c>
      <c r="M198" s="146" t="s">
        <v>21</v>
      </c>
      <c r="N198" s="146" t="s">
        <v>21</v>
      </c>
      <c r="O198" s="146" t="s">
        <v>21</v>
      </c>
      <c r="P198" s="147">
        <v>0</v>
      </c>
      <c r="Q198" s="147">
        <v>1368.68</v>
      </c>
      <c r="R198" s="147">
        <v>4163.7700000000004</v>
      </c>
    </row>
    <row r="199" spans="1:18" x14ac:dyDescent="0.25">
      <c r="A199" s="146" t="s">
        <v>176</v>
      </c>
      <c r="B199" s="150" t="s">
        <v>503</v>
      </c>
      <c r="C199" s="146">
        <v>4</v>
      </c>
      <c r="D199" s="146">
        <v>7</v>
      </c>
      <c r="E199" s="146" t="s">
        <v>534</v>
      </c>
      <c r="F199" s="146">
        <v>59</v>
      </c>
      <c r="G199" s="147">
        <v>738.85</v>
      </c>
      <c r="H199" s="147">
        <v>871.84</v>
      </c>
      <c r="I199" s="147">
        <v>3275.07</v>
      </c>
      <c r="J199" s="147">
        <v>490.41</v>
      </c>
      <c r="K199" s="147">
        <v>4637.32</v>
      </c>
      <c r="L199" s="147">
        <v>2179.61</v>
      </c>
      <c r="M199" s="146" t="s">
        <v>21</v>
      </c>
      <c r="N199" s="146" t="s">
        <v>21</v>
      </c>
      <c r="O199" s="146" t="s">
        <v>21</v>
      </c>
      <c r="P199" s="147">
        <v>0</v>
      </c>
      <c r="Q199" s="147">
        <v>2179.61</v>
      </c>
      <c r="R199" s="147">
        <v>6816.93</v>
      </c>
    </row>
    <row r="200" spans="1:18" x14ac:dyDescent="0.25">
      <c r="A200" s="146" t="s">
        <v>177</v>
      </c>
      <c r="B200" s="150" t="s">
        <v>504</v>
      </c>
      <c r="C200" s="146">
        <v>4</v>
      </c>
      <c r="D200" s="146">
        <v>7</v>
      </c>
      <c r="E200" s="146" t="s">
        <v>534</v>
      </c>
      <c r="F200" s="146">
        <v>59</v>
      </c>
      <c r="G200" s="147">
        <v>2100.88</v>
      </c>
      <c r="H200" s="147">
        <v>2479.04</v>
      </c>
      <c r="I200" s="147">
        <v>9312.51</v>
      </c>
      <c r="J200" s="147">
        <v>1394.46</v>
      </c>
      <c r="K200" s="147">
        <v>13186.01</v>
      </c>
      <c r="L200" s="147">
        <v>6197.6</v>
      </c>
      <c r="M200" s="146" t="s">
        <v>21</v>
      </c>
      <c r="N200" s="146" t="s">
        <v>21</v>
      </c>
      <c r="O200" s="146" t="s">
        <v>21</v>
      </c>
      <c r="P200" s="147">
        <v>0</v>
      </c>
      <c r="Q200" s="147">
        <v>6197.6</v>
      </c>
      <c r="R200" s="147">
        <v>19383.61</v>
      </c>
    </row>
    <row r="201" spans="1:18" x14ac:dyDescent="0.25">
      <c r="A201" s="146" t="s">
        <v>178</v>
      </c>
      <c r="B201" s="150" t="s">
        <v>505</v>
      </c>
      <c r="C201" s="146">
        <v>1</v>
      </c>
      <c r="D201" s="146">
        <v>7</v>
      </c>
      <c r="E201" s="146" t="s">
        <v>534</v>
      </c>
      <c r="F201" s="146">
        <v>59</v>
      </c>
      <c r="G201" s="147">
        <v>330.57</v>
      </c>
      <c r="H201" s="147">
        <v>390.07</v>
      </c>
      <c r="I201" s="147">
        <v>1175.28</v>
      </c>
      <c r="J201" s="147">
        <v>219.42</v>
      </c>
      <c r="K201" s="147">
        <v>1784.77</v>
      </c>
      <c r="L201" s="147">
        <v>975.18</v>
      </c>
      <c r="M201" s="146" t="s">
        <v>21</v>
      </c>
      <c r="N201" s="146" t="s">
        <v>21</v>
      </c>
      <c r="O201" s="146" t="s">
        <v>21</v>
      </c>
      <c r="P201" s="147">
        <v>0</v>
      </c>
      <c r="Q201" s="147">
        <v>975.18</v>
      </c>
      <c r="R201" s="147">
        <v>2759.95</v>
      </c>
    </row>
    <row r="202" spans="1:18" x14ac:dyDescent="0.25">
      <c r="A202" s="146" t="s">
        <v>506</v>
      </c>
      <c r="B202" s="150" t="s">
        <v>507</v>
      </c>
      <c r="C202" s="146">
        <v>4</v>
      </c>
      <c r="D202" s="146">
        <v>7</v>
      </c>
      <c r="E202" s="146" t="s">
        <v>534</v>
      </c>
      <c r="F202" s="146">
        <v>59</v>
      </c>
      <c r="G202" s="147">
        <v>347.29</v>
      </c>
      <c r="H202" s="147">
        <v>409.8</v>
      </c>
      <c r="I202" s="147">
        <v>1270.8</v>
      </c>
      <c r="J202" s="147">
        <v>230.51</v>
      </c>
      <c r="K202" s="147">
        <v>1911.11</v>
      </c>
      <c r="L202" s="147">
        <v>1024.51</v>
      </c>
      <c r="M202" s="146" t="s">
        <v>21</v>
      </c>
      <c r="N202" s="146" t="s">
        <v>21</v>
      </c>
      <c r="O202" s="146" t="s">
        <v>21</v>
      </c>
      <c r="P202" s="147">
        <v>0</v>
      </c>
      <c r="Q202" s="147">
        <v>1024.51</v>
      </c>
      <c r="R202" s="147">
        <v>2935.62</v>
      </c>
    </row>
    <row r="203" spans="1:18" x14ac:dyDescent="0.25">
      <c r="A203" s="146" t="s">
        <v>179</v>
      </c>
      <c r="B203" s="150" t="s">
        <v>508</v>
      </c>
      <c r="C203" s="146">
        <v>4</v>
      </c>
      <c r="D203" s="146">
        <v>7</v>
      </c>
      <c r="E203" s="146" t="s">
        <v>534</v>
      </c>
      <c r="F203" s="146">
        <v>59</v>
      </c>
      <c r="G203" s="147">
        <v>1098.32</v>
      </c>
      <c r="H203" s="147">
        <v>1296.02</v>
      </c>
      <c r="I203" s="147">
        <v>4868.49</v>
      </c>
      <c r="J203" s="147">
        <v>729.01</v>
      </c>
      <c r="K203" s="147">
        <v>6893.52</v>
      </c>
      <c r="L203" s="147">
        <v>3240.04</v>
      </c>
      <c r="M203" s="146" t="s">
        <v>21</v>
      </c>
      <c r="N203" s="146" t="s">
        <v>21</v>
      </c>
      <c r="O203" s="146" t="s">
        <v>21</v>
      </c>
      <c r="P203" s="147">
        <v>0</v>
      </c>
      <c r="Q203" s="147">
        <v>3240.04</v>
      </c>
      <c r="R203" s="147">
        <v>10133.56</v>
      </c>
    </row>
    <row r="204" spans="1:18" x14ac:dyDescent="0.25">
      <c r="A204" s="146" t="s">
        <v>180</v>
      </c>
      <c r="B204" s="150" t="s">
        <v>509</v>
      </c>
      <c r="C204" s="146">
        <v>4</v>
      </c>
      <c r="D204" s="146">
        <v>7</v>
      </c>
      <c r="E204" s="146" t="s">
        <v>534</v>
      </c>
      <c r="F204" s="146">
        <v>59</v>
      </c>
      <c r="G204" s="147">
        <v>357.16</v>
      </c>
      <c r="H204" s="147">
        <v>421.45</v>
      </c>
      <c r="I204" s="147">
        <v>1340.42</v>
      </c>
      <c r="J204" s="147">
        <v>237.06</v>
      </c>
      <c r="K204" s="147">
        <v>1998.93</v>
      </c>
      <c r="L204" s="147">
        <v>1053.6199999999999</v>
      </c>
      <c r="M204" s="146" t="s">
        <v>21</v>
      </c>
      <c r="N204" s="146" t="s">
        <v>21</v>
      </c>
      <c r="O204" s="146" t="s">
        <v>21</v>
      </c>
      <c r="P204" s="147">
        <v>0</v>
      </c>
      <c r="Q204" s="147">
        <v>1053.6199999999999</v>
      </c>
      <c r="R204" s="147">
        <v>3052.55</v>
      </c>
    </row>
    <row r="205" spans="1:18" x14ac:dyDescent="0.25">
      <c r="A205" s="146" t="s">
        <v>181</v>
      </c>
      <c r="B205" s="150" t="s">
        <v>182</v>
      </c>
      <c r="C205" s="146">
        <v>4</v>
      </c>
      <c r="D205" s="146">
        <v>7</v>
      </c>
      <c r="E205" s="146" t="s">
        <v>534</v>
      </c>
      <c r="F205" s="146">
        <v>59</v>
      </c>
      <c r="G205" s="147">
        <v>438.81</v>
      </c>
      <c r="H205" s="147">
        <v>517.79999999999995</v>
      </c>
      <c r="I205" s="147">
        <v>1712.09</v>
      </c>
      <c r="J205" s="147">
        <v>291.26</v>
      </c>
      <c r="K205" s="147">
        <v>2521.15</v>
      </c>
      <c r="L205" s="147">
        <v>1294.49</v>
      </c>
      <c r="M205" s="146" t="s">
        <v>21</v>
      </c>
      <c r="N205" s="146" t="s">
        <v>21</v>
      </c>
      <c r="O205" s="146" t="s">
        <v>21</v>
      </c>
      <c r="P205" s="147">
        <v>0</v>
      </c>
      <c r="Q205" s="147">
        <v>1294.49</v>
      </c>
      <c r="R205" s="147">
        <v>3815.64</v>
      </c>
    </row>
    <row r="206" spans="1:18" x14ac:dyDescent="0.25">
      <c r="A206" s="146" t="s">
        <v>183</v>
      </c>
      <c r="B206" s="150" t="s">
        <v>510</v>
      </c>
      <c r="C206" s="146">
        <v>4</v>
      </c>
      <c r="D206" s="146">
        <v>7</v>
      </c>
      <c r="E206" s="146" t="s">
        <v>534</v>
      </c>
      <c r="F206" s="146">
        <v>59</v>
      </c>
      <c r="G206" s="147">
        <v>364.38</v>
      </c>
      <c r="H206" s="147">
        <v>429.97</v>
      </c>
      <c r="I206" s="147">
        <v>1367.51</v>
      </c>
      <c r="J206" s="147">
        <v>241.86</v>
      </c>
      <c r="K206" s="147">
        <v>2039.34</v>
      </c>
      <c r="L206" s="147">
        <v>1074.92</v>
      </c>
      <c r="M206" s="146" t="s">
        <v>21</v>
      </c>
      <c r="N206" s="146" t="s">
        <v>21</v>
      </c>
      <c r="O206" s="146" t="s">
        <v>21</v>
      </c>
      <c r="P206" s="147">
        <v>0</v>
      </c>
      <c r="Q206" s="147">
        <v>1074.92</v>
      </c>
      <c r="R206" s="147">
        <v>3114.26</v>
      </c>
    </row>
    <row r="207" spans="1:18" x14ac:dyDescent="0.25">
      <c r="A207" s="146" t="s">
        <v>184</v>
      </c>
      <c r="B207" s="150" t="s">
        <v>511</v>
      </c>
      <c r="C207" s="146">
        <v>4</v>
      </c>
      <c r="D207" s="146">
        <v>7</v>
      </c>
      <c r="E207" s="146" t="s">
        <v>534</v>
      </c>
      <c r="F207" s="146">
        <v>59</v>
      </c>
      <c r="G207" s="147">
        <v>459.18</v>
      </c>
      <c r="H207" s="147">
        <v>541.83000000000004</v>
      </c>
      <c r="I207" s="147">
        <v>1919.68</v>
      </c>
      <c r="J207" s="147">
        <v>304.77999999999997</v>
      </c>
      <c r="K207" s="147">
        <v>2766.29</v>
      </c>
      <c r="L207" s="147">
        <v>1354.58</v>
      </c>
      <c r="M207" s="146" t="s">
        <v>21</v>
      </c>
      <c r="N207" s="146" t="s">
        <v>21</v>
      </c>
      <c r="O207" s="146" t="s">
        <v>21</v>
      </c>
      <c r="P207" s="147">
        <v>0</v>
      </c>
      <c r="Q207" s="147">
        <v>1354.58</v>
      </c>
      <c r="R207" s="147">
        <v>4120.87</v>
      </c>
    </row>
    <row r="208" spans="1:18" x14ac:dyDescent="0.25">
      <c r="A208" s="146" t="s">
        <v>512</v>
      </c>
      <c r="B208" s="150" t="s">
        <v>513</v>
      </c>
      <c r="C208" s="146">
        <v>4</v>
      </c>
      <c r="D208" s="146">
        <v>7</v>
      </c>
      <c r="E208" s="146" t="s">
        <v>534</v>
      </c>
      <c r="F208" s="146">
        <v>59</v>
      </c>
      <c r="G208" s="147">
        <v>432.58</v>
      </c>
      <c r="H208" s="147">
        <v>510.44</v>
      </c>
      <c r="I208" s="147">
        <v>1687.78</v>
      </c>
      <c r="J208" s="147">
        <v>287.12</v>
      </c>
      <c r="K208" s="147">
        <v>2485.34</v>
      </c>
      <c r="L208" s="147">
        <v>1276.1099999999999</v>
      </c>
      <c r="M208" s="146" t="s">
        <v>21</v>
      </c>
      <c r="N208" s="146" t="s">
        <v>21</v>
      </c>
      <c r="O208" s="146" t="s">
        <v>21</v>
      </c>
      <c r="P208" s="147">
        <v>0</v>
      </c>
      <c r="Q208" s="147">
        <v>1276.1099999999999</v>
      </c>
      <c r="R208" s="147">
        <v>3761.45</v>
      </c>
    </row>
    <row r="209" spans="1:18" x14ac:dyDescent="0.25">
      <c r="A209" s="146" t="s">
        <v>185</v>
      </c>
      <c r="B209" s="150" t="s">
        <v>544</v>
      </c>
      <c r="C209" s="146">
        <v>0</v>
      </c>
      <c r="D209" s="146">
        <v>2</v>
      </c>
      <c r="E209" s="146" t="s">
        <v>538</v>
      </c>
      <c r="F209" s="146">
        <v>0</v>
      </c>
      <c r="G209" s="147">
        <v>0</v>
      </c>
      <c r="H209" s="147">
        <v>0</v>
      </c>
      <c r="I209" s="147">
        <v>0</v>
      </c>
      <c r="J209" s="147">
        <v>0</v>
      </c>
      <c r="K209" s="147">
        <v>0</v>
      </c>
      <c r="L209" s="147">
        <v>0</v>
      </c>
      <c r="M209" s="146" t="s">
        <v>21</v>
      </c>
      <c r="N209" s="146" t="s">
        <v>21</v>
      </c>
      <c r="O209" s="146" t="s">
        <v>21</v>
      </c>
      <c r="P209" s="147">
        <v>0</v>
      </c>
      <c r="Q209" s="147">
        <v>0</v>
      </c>
      <c r="R209" s="147">
        <v>0</v>
      </c>
    </row>
    <row r="210" spans="1:18" x14ac:dyDescent="0.25">
      <c r="A210" s="146" t="s">
        <v>185</v>
      </c>
      <c r="B210" s="150" t="s">
        <v>544</v>
      </c>
      <c r="C210" s="146">
        <v>4</v>
      </c>
      <c r="D210" s="146">
        <v>7</v>
      </c>
      <c r="E210" s="146" t="s">
        <v>534</v>
      </c>
      <c r="F210" s="146">
        <v>27</v>
      </c>
      <c r="G210" s="147">
        <v>645.49</v>
      </c>
      <c r="H210" s="147">
        <v>348.56</v>
      </c>
      <c r="I210" s="147">
        <v>1309.3800000000001</v>
      </c>
      <c r="J210" s="147">
        <v>196.07</v>
      </c>
      <c r="K210" s="147">
        <v>1854.01</v>
      </c>
      <c r="L210" s="147">
        <v>871.41</v>
      </c>
      <c r="M210" s="146" t="s">
        <v>21</v>
      </c>
      <c r="N210" s="146" t="s">
        <v>21</v>
      </c>
      <c r="O210" s="146" t="s">
        <v>21</v>
      </c>
      <c r="P210" s="147">
        <v>0</v>
      </c>
      <c r="Q210" s="147">
        <v>871.41</v>
      </c>
      <c r="R210" s="147">
        <v>2725.42</v>
      </c>
    </row>
    <row r="211" spans="1:18" x14ac:dyDescent="0.25">
      <c r="A211" s="146" t="s">
        <v>186</v>
      </c>
      <c r="B211" s="150" t="s">
        <v>514</v>
      </c>
      <c r="C211" s="146">
        <v>4</v>
      </c>
      <c r="D211" s="146">
        <v>9</v>
      </c>
      <c r="E211" s="146" t="s">
        <v>21</v>
      </c>
      <c r="F211" s="146">
        <v>59</v>
      </c>
      <c r="G211" s="147">
        <v>2828.5</v>
      </c>
      <c r="H211" s="147">
        <v>3337.63</v>
      </c>
      <c r="I211" s="147">
        <v>12537.81</v>
      </c>
      <c r="J211" s="147">
        <v>1877.42</v>
      </c>
      <c r="K211" s="147">
        <v>17752.86</v>
      </c>
      <c r="L211" s="147">
        <v>8344.08</v>
      </c>
      <c r="M211" s="146" t="s">
        <v>21</v>
      </c>
      <c r="N211" s="146" t="s">
        <v>21</v>
      </c>
      <c r="O211" s="146" t="s">
        <v>21</v>
      </c>
      <c r="P211" s="147">
        <v>0</v>
      </c>
      <c r="Q211" s="147">
        <v>8344.08</v>
      </c>
      <c r="R211" s="147">
        <v>26096.94</v>
      </c>
    </row>
    <row r="212" spans="1:18" x14ac:dyDescent="0.25">
      <c r="A212" s="146" t="s">
        <v>187</v>
      </c>
      <c r="B212" s="150" t="s">
        <v>515</v>
      </c>
      <c r="C212" s="146">
        <v>4</v>
      </c>
      <c r="D212" s="146">
        <v>9</v>
      </c>
      <c r="E212" s="146" t="s">
        <v>21</v>
      </c>
      <c r="F212" s="146">
        <v>59</v>
      </c>
      <c r="G212" s="147">
        <v>2828.5</v>
      </c>
      <c r="H212" s="147">
        <v>3337.63</v>
      </c>
      <c r="I212" s="147">
        <v>12537.81</v>
      </c>
      <c r="J212" s="147">
        <v>1877.42</v>
      </c>
      <c r="K212" s="147">
        <v>17752.86</v>
      </c>
      <c r="L212" s="147">
        <v>8344.08</v>
      </c>
      <c r="M212" s="146" t="s">
        <v>21</v>
      </c>
      <c r="N212" s="146" t="s">
        <v>21</v>
      </c>
      <c r="O212" s="146" t="s">
        <v>21</v>
      </c>
      <c r="P212" s="147">
        <v>0</v>
      </c>
      <c r="Q212" s="147">
        <v>8344.08</v>
      </c>
      <c r="R212" s="147">
        <v>26096.94</v>
      </c>
    </row>
    <row r="213" spans="1:18" x14ac:dyDescent="0.25">
      <c r="A213" s="146" t="s">
        <v>188</v>
      </c>
      <c r="B213" s="150" t="s">
        <v>516</v>
      </c>
      <c r="C213" s="146">
        <v>4</v>
      </c>
      <c r="D213" s="146">
        <v>7</v>
      </c>
      <c r="E213" s="146" t="s">
        <v>534</v>
      </c>
      <c r="F213" s="146">
        <v>59</v>
      </c>
      <c r="G213" s="147">
        <v>459.66</v>
      </c>
      <c r="H213" s="147">
        <v>542.4</v>
      </c>
      <c r="I213" s="147">
        <v>1921.68</v>
      </c>
      <c r="J213" s="147">
        <v>305.10000000000002</v>
      </c>
      <c r="K213" s="147">
        <v>2769.18</v>
      </c>
      <c r="L213" s="147">
        <v>1356</v>
      </c>
      <c r="M213" s="146" t="s">
        <v>21</v>
      </c>
      <c r="N213" s="146" t="s">
        <v>21</v>
      </c>
      <c r="O213" s="146" t="s">
        <v>21</v>
      </c>
      <c r="P213" s="147">
        <v>0</v>
      </c>
      <c r="Q213" s="147">
        <v>1356</v>
      </c>
      <c r="R213" s="147">
        <v>4125.18</v>
      </c>
    </row>
    <row r="214" spans="1:18" x14ac:dyDescent="0.25">
      <c r="A214" s="146" t="s">
        <v>517</v>
      </c>
      <c r="B214" s="150" t="s">
        <v>518</v>
      </c>
      <c r="C214" s="146">
        <v>1</v>
      </c>
      <c r="D214" s="146">
        <v>7</v>
      </c>
      <c r="E214" s="146" t="s">
        <v>534</v>
      </c>
      <c r="F214" s="146">
        <v>59</v>
      </c>
      <c r="G214" s="147">
        <v>330.57</v>
      </c>
      <c r="H214" s="147">
        <v>390.07</v>
      </c>
      <c r="I214" s="147">
        <v>1175.28</v>
      </c>
      <c r="J214" s="147">
        <v>219.42</v>
      </c>
      <c r="K214" s="147">
        <v>1784.77</v>
      </c>
      <c r="L214" s="147">
        <v>975.18</v>
      </c>
      <c r="M214" s="146" t="s">
        <v>21</v>
      </c>
      <c r="N214" s="146" t="s">
        <v>21</v>
      </c>
      <c r="O214" s="146" t="s">
        <v>21</v>
      </c>
      <c r="P214" s="147">
        <v>0</v>
      </c>
      <c r="Q214" s="147">
        <v>975.18</v>
      </c>
      <c r="R214" s="147">
        <v>2759.95</v>
      </c>
    </row>
    <row r="215" spans="1:18" x14ac:dyDescent="0.25">
      <c r="A215" s="146" t="s">
        <v>519</v>
      </c>
      <c r="B215" s="150" t="s">
        <v>520</v>
      </c>
      <c r="C215" s="146">
        <v>4</v>
      </c>
      <c r="D215" s="146">
        <v>8</v>
      </c>
      <c r="E215" s="146" t="s">
        <v>545</v>
      </c>
      <c r="F215" s="146">
        <v>40</v>
      </c>
      <c r="G215" s="147">
        <v>332.41</v>
      </c>
      <c r="H215" s="147">
        <v>265.93</v>
      </c>
      <c r="I215" s="147">
        <v>801.24</v>
      </c>
      <c r="J215" s="147">
        <v>149.58000000000001</v>
      </c>
      <c r="K215" s="147">
        <v>1216.75</v>
      </c>
      <c r="L215" s="147">
        <v>664.82</v>
      </c>
      <c r="M215" s="146" t="s">
        <v>21</v>
      </c>
      <c r="N215" s="146" t="s">
        <v>21</v>
      </c>
      <c r="O215" s="146" t="s">
        <v>21</v>
      </c>
      <c r="P215" s="147">
        <v>0</v>
      </c>
      <c r="Q215" s="147">
        <v>664.82</v>
      </c>
      <c r="R215" s="147">
        <v>1881.57</v>
      </c>
    </row>
    <row r="216" spans="1:18" x14ac:dyDescent="0.25">
      <c r="A216" s="146" t="s">
        <v>189</v>
      </c>
      <c r="B216" s="150" t="s">
        <v>521</v>
      </c>
      <c r="C216" s="146">
        <v>4</v>
      </c>
      <c r="D216" s="146">
        <v>9</v>
      </c>
      <c r="E216" s="146" t="s">
        <v>21</v>
      </c>
      <c r="F216" s="146">
        <v>59</v>
      </c>
      <c r="G216" s="147">
        <v>2828.5</v>
      </c>
      <c r="H216" s="147">
        <v>3337.63</v>
      </c>
      <c r="I216" s="147">
        <v>12537.81</v>
      </c>
      <c r="J216" s="147">
        <v>1877.42</v>
      </c>
      <c r="K216" s="147">
        <v>17752.86</v>
      </c>
      <c r="L216" s="147">
        <v>8344.08</v>
      </c>
      <c r="M216" s="146" t="s">
        <v>21</v>
      </c>
      <c r="N216" s="146" t="s">
        <v>21</v>
      </c>
      <c r="O216" s="146" t="s">
        <v>21</v>
      </c>
      <c r="P216" s="147">
        <v>0</v>
      </c>
      <c r="Q216" s="147">
        <v>8344.08</v>
      </c>
      <c r="R216" s="147">
        <v>26096.94</v>
      </c>
    </row>
    <row r="217" spans="1:18" x14ac:dyDescent="0.25">
      <c r="A217" s="146" t="s">
        <v>190</v>
      </c>
      <c r="B217" s="150" t="s">
        <v>522</v>
      </c>
      <c r="C217" s="146">
        <v>4</v>
      </c>
      <c r="D217" s="146">
        <v>7</v>
      </c>
      <c r="E217" s="146" t="s">
        <v>534</v>
      </c>
      <c r="F217" s="146">
        <v>59</v>
      </c>
      <c r="G217" s="147">
        <v>449.64</v>
      </c>
      <c r="H217" s="147">
        <v>530.58000000000004</v>
      </c>
      <c r="I217" s="147">
        <v>1754.35</v>
      </c>
      <c r="J217" s="147">
        <v>298.45</v>
      </c>
      <c r="K217" s="147">
        <v>2583.38</v>
      </c>
      <c r="L217" s="147">
        <v>1326.44</v>
      </c>
      <c r="M217" s="146" t="s">
        <v>21</v>
      </c>
      <c r="N217" s="146" t="s">
        <v>21</v>
      </c>
      <c r="O217" s="146" t="s">
        <v>21</v>
      </c>
      <c r="P217" s="147">
        <v>0</v>
      </c>
      <c r="Q217" s="147">
        <v>1326.44</v>
      </c>
      <c r="R217" s="147">
        <v>3909.82</v>
      </c>
    </row>
    <row r="218" spans="1:18" x14ac:dyDescent="0.25">
      <c r="A218" s="146" t="s">
        <v>191</v>
      </c>
      <c r="B218" s="150" t="s">
        <v>523</v>
      </c>
      <c r="C218" s="146">
        <v>4</v>
      </c>
      <c r="D218" s="146">
        <v>7</v>
      </c>
      <c r="E218" s="146" t="s">
        <v>534</v>
      </c>
      <c r="F218" s="146">
        <v>59</v>
      </c>
      <c r="G218" s="147">
        <v>618.53</v>
      </c>
      <c r="H218" s="147">
        <v>729.87</v>
      </c>
      <c r="I218" s="147">
        <v>2741.73</v>
      </c>
      <c r="J218" s="147">
        <v>410.55</v>
      </c>
      <c r="K218" s="147">
        <v>3882.15</v>
      </c>
      <c r="L218" s="147">
        <v>1824.66</v>
      </c>
      <c r="M218" s="146" t="s">
        <v>21</v>
      </c>
      <c r="N218" s="146" t="s">
        <v>21</v>
      </c>
      <c r="O218" s="146" t="s">
        <v>21</v>
      </c>
      <c r="P218" s="147">
        <v>0</v>
      </c>
      <c r="Q218" s="147">
        <v>1824.66</v>
      </c>
      <c r="R218" s="147">
        <v>5706.81</v>
      </c>
    </row>
    <row r="219" spans="1:18" x14ac:dyDescent="0.25">
      <c r="A219" s="146" t="s">
        <v>524</v>
      </c>
      <c r="B219" s="150" t="s">
        <v>525</v>
      </c>
      <c r="C219" s="146">
        <v>4</v>
      </c>
      <c r="D219" s="146">
        <v>8</v>
      </c>
      <c r="E219" s="146" t="s">
        <v>526</v>
      </c>
      <c r="F219" s="146">
        <v>11</v>
      </c>
      <c r="G219" s="147">
        <v>428.5</v>
      </c>
      <c r="H219" s="147">
        <v>94.27</v>
      </c>
      <c r="I219" s="147">
        <v>311.7</v>
      </c>
      <c r="J219" s="147">
        <v>53.03</v>
      </c>
      <c r="K219" s="147">
        <v>459</v>
      </c>
      <c r="L219" s="147">
        <v>235.68</v>
      </c>
      <c r="M219" s="146" t="s">
        <v>21</v>
      </c>
      <c r="N219" s="146" t="s">
        <v>21</v>
      </c>
      <c r="O219" s="146" t="s">
        <v>21</v>
      </c>
      <c r="P219" s="147">
        <v>0</v>
      </c>
      <c r="Q219" s="147">
        <v>235.68</v>
      </c>
      <c r="R219" s="147">
        <v>694.68</v>
      </c>
    </row>
    <row r="220" spans="1:18" x14ac:dyDescent="0.25">
      <c r="A220" s="146" t="s">
        <v>527</v>
      </c>
      <c r="B220" s="150" t="s">
        <v>528</v>
      </c>
      <c r="C220" s="146">
        <v>1</v>
      </c>
      <c r="D220" s="146">
        <v>7</v>
      </c>
      <c r="E220" s="146" t="s">
        <v>534</v>
      </c>
      <c r="F220" s="146">
        <v>59</v>
      </c>
      <c r="G220" s="147">
        <v>330.57</v>
      </c>
      <c r="H220" s="147">
        <v>390.07</v>
      </c>
      <c r="I220" s="147">
        <v>1175.28</v>
      </c>
      <c r="J220" s="147">
        <v>219.42</v>
      </c>
      <c r="K220" s="147">
        <v>1784.77</v>
      </c>
      <c r="L220" s="147">
        <v>975.18</v>
      </c>
      <c r="M220" s="146" t="s">
        <v>21</v>
      </c>
      <c r="N220" s="146" t="s">
        <v>21</v>
      </c>
      <c r="O220" s="146" t="s">
        <v>21</v>
      </c>
      <c r="P220" s="147">
        <v>0</v>
      </c>
      <c r="Q220" s="147">
        <v>975.18</v>
      </c>
      <c r="R220" s="147">
        <v>2759.95</v>
      </c>
    </row>
    <row r="221" spans="1:18" x14ac:dyDescent="0.25">
      <c r="A221" s="146" t="s">
        <v>192</v>
      </c>
      <c r="B221" s="150" t="s">
        <v>529</v>
      </c>
      <c r="C221" s="146">
        <v>1</v>
      </c>
      <c r="D221" s="146">
        <v>7</v>
      </c>
      <c r="E221" s="146" t="s">
        <v>534</v>
      </c>
      <c r="F221" s="146">
        <v>59</v>
      </c>
      <c r="G221" s="147">
        <v>330.57</v>
      </c>
      <c r="H221" s="147">
        <v>390.07</v>
      </c>
      <c r="I221" s="147">
        <v>1175.28</v>
      </c>
      <c r="J221" s="147">
        <v>219.42</v>
      </c>
      <c r="K221" s="147">
        <v>1784.77</v>
      </c>
      <c r="L221" s="147">
        <v>975.18</v>
      </c>
      <c r="M221" s="146" t="s">
        <v>21</v>
      </c>
      <c r="N221" s="146" t="s">
        <v>21</v>
      </c>
      <c r="O221" s="146" t="s">
        <v>21</v>
      </c>
      <c r="P221" s="147">
        <v>0</v>
      </c>
      <c r="Q221" s="147">
        <v>975.18</v>
      </c>
      <c r="R221" s="147">
        <v>2759.95</v>
      </c>
    </row>
    <row r="222" spans="1:18" x14ac:dyDescent="0.25">
      <c r="A222" s="146" t="s">
        <v>193</v>
      </c>
      <c r="B222" s="150" t="s">
        <v>530</v>
      </c>
      <c r="C222" s="146">
        <v>4</v>
      </c>
      <c r="D222" s="146">
        <v>7</v>
      </c>
      <c r="E222" s="146" t="s">
        <v>534</v>
      </c>
      <c r="F222" s="146">
        <v>59</v>
      </c>
      <c r="G222" s="147">
        <v>1039.67</v>
      </c>
      <c r="H222" s="147">
        <v>1226.81</v>
      </c>
      <c r="I222" s="147">
        <v>4608.51</v>
      </c>
      <c r="J222" s="147">
        <v>690.08</v>
      </c>
      <c r="K222" s="147">
        <v>6525.4</v>
      </c>
      <c r="L222" s="147">
        <v>3067.03</v>
      </c>
      <c r="M222" s="146" t="s">
        <v>21</v>
      </c>
      <c r="N222" s="146" t="s">
        <v>21</v>
      </c>
      <c r="O222" s="146" t="s">
        <v>21</v>
      </c>
      <c r="P222" s="147">
        <v>0</v>
      </c>
      <c r="Q222" s="147">
        <v>3067.03</v>
      </c>
      <c r="R222" s="147">
        <v>9592.43</v>
      </c>
    </row>
    <row r="223" spans="1:18" x14ac:dyDescent="0.25">
      <c r="A223" s="146" t="s">
        <v>194</v>
      </c>
      <c r="B223" s="150" t="s">
        <v>531</v>
      </c>
      <c r="C223" s="146">
        <v>4</v>
      </c>
      <c r="D223" s="146">
        <v>7</v>
      </c>
      <c r="E223" s="146" t="s">
        <v>534</v>
      </c>
      <c r="F223" s="146">
        <v>59</v>
      </c>
      <c r="G223" s="147">
        <v>464.94</v>
      </c>
      <c r="H223" s="147">
        <v>548.63</v>
      </c>
      <c r="I223" s="147">
        <v>1943.76</v>
      </c>
      <c r="J223" s="147">
        <v>308.60000000000002</v>
      </c>
      <c r="K223" s="147">
        <v>2800.99</v>
      </c>
      <c r="L223" s="147">
        <v>1371.57</v>
      </c>
      <c r="M223" s="146" t="s">
        <v>21</v>
      </c>
      <c r="N223" s="146" t="s">
        <v>21</v>
      </c>
      <c r="O223" s="146" t="s">
        <v>21</v>
      </c>
      <c r="P223" s="147">
        <v>0</v>
      </c>
      <c r="Q223" s="147">
        <v>1371.57</v>
      </c>
      <c r="R223" s="147">
        <v>4172.5600000000004</v>
      </c>
    </row>
    <row r="224" spans="1:18" x14ac:dyDescent="0.25">
      <c r="A224" s="146" t="s">
        <v>195</v>
      </c>
      <c r="B224" s="150" t="s">
        <v>532</v>
      </c>
      <c r="C224" s="146">
        <v>1</v>
      </c>
      <c r="D224" s="146">
        <v>7</v>
      </c>
      <c r="E224" s="146" t="s">
        <v>534</v>
      </c>
      <c r="F224" s="146">
        <v>59</v>
      </c>
      <c r="G224" s="147">
        <v>330.57</v>
      </c>
      <c r="H224" s="147">
        <v>390.07</v>
      </c>
      <c r="I224" s="147">
        <v>1175.28</v>
      </c>
      <c r="J224" s="147">
        <v>219.42</v>
      </c>
      <c r="K224" s="147">
        <v>1784.77</v>
      </c>
      <c r="L224" s="147">
        <v>975.18</v>
      </c>
      <c r="M224" s="146" t="s">
        <v>21</v>
      </c>
      <c r="N224" s="146" t="s">
        <v>21</v>
      </c>
      <c r="O224" s="146" t="s">
        <v>21</v>
      </c>
      <c r="P224" s="147">
        <v>0</v>
      </c>
      <c r="Q224" s="147">
        <v>975.18</v>
      </c>
      <c r="R224" s="147">
        <v>2759.95</v>
      </c>
    </row>
    <row r="225" spans="1:18" x14ac:dyDescent="0.25">
      <c r="A225" s="146" t="s">
        <v>196</v>
      </c>
      <c r="B225" s="150" t="s">
        <v>533</v>
      </c>
      <c r="C225" s="146">
        <v>4</v>
      </c>
      <c r="D225" s="146">
        <v>7</v>
      </c>
      <c r="E225" s="146" t="s">
        <v>534</v>
      </c>
      <c r="F225" s="146">
        <v>59</v>
      </c>
      <c r="G225" s="147">
        <v>679.8</v>
      </c>
      <c r="H225" s="147">
        <v>802.16</v>
      </c>
      <c r="I225" s="147">
        <v>3013.32</v>
      </c>
      <c r="J225" s="147">
        <v>451.22</v>
      </c>
      <c r="K225" s="147">
        <v>4266.7</v>
      </c>
      <c r="L225" s="147">
        <v>2005.41</v>
      </c>
      <c r="M225" s="146" t="s">
        <v>21</v>
      </c>
      <c r="N225" s="146" t="s">
        <v>21</v>
      </c>
      <c r="O225" s="146" t="s">
        <v>21</v>
      </c>
      <c r="P225" s="147">
        <v>0</v>
      </c>
      <c r="Q225" s="147">
        <v>2005.41</v>
      </c>
      <c r="R225" s="147">
        <v>6272.11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13653-61B1-4E69-87B8-7FFF4E25C299}">
  <dimension ref="A1:BJ286"/>
  <sheetViews>
    <sheetView tabSelected="1" zoomScale="95" zoomScaleNormal="95" workbookViewId="0">
      <selection activeCell="E24" sqref="E24"/>
    </sheetView>
  </sheetViews>
  <sheetFormatPr baseColWidth="10" defaultRowHeight="15" x14ac:dyDescent="0.2"/>
  <cols>
    <col min="1" max="1" width="11.42578125" style="70" customWidth="1"/>
    <col min="2" max="2" width="34.7109375" style="70" customWidth="1"/>
    <col min="3" max="3" width="28.7109375" style="70" customWidth="1"/>
    <col min="4" max="27" width="11.42578125" style="70" customWidth="1"/>
    <col min="28" max="28" width="18.28515625" style="70" customWidth="1"/>
    <col min="29" max="29" width="14.42578125" style="70" customWidth="1"/>
    <col min="30" max="30" width="20.28515625" style="70" customWidth="1"/>
    <col min="31" max="31" width="11.42578125" style="70" customWidth="1"/>
    <col min="32" max="32" width="14.28515625" style="14" customWidth="1"/>
    <col min="33" max="33" width="21.85546875" style="14" customWidth="1"/>
    <col min="34" max="34" width="1.7109375" style="14" customWidth="1"/>
    <col min="35" max="35" width="18.140625" style="14" customWidth="1"/>
    <col min="36" max="36" width="16" style="14" customWidth="1"/>
    <col min="37" max="37" width="1.140625" style="14" customWidth="1"/>
    <col min="38" max="38" width="15.5703125" style="14" customWidth="1"/>
    <col min="39" max="39" width="17.7109375" style="14" customWidth="1"/>
    <col min="40" max="40" width="1.140625" style="14" customWidth="1"/>
    <col min="41" max="41" width="15.7109375" style="14" customWidth="1"/>
    <col min="42" max="42" width="13.85546875" style="14" customWidth="1"/>
    <col min="43" max="43" width="1.28515625" style="14" customWidth="1"/>
    <col min="44" max="44" width="11.42578125" style="14" customWidth="1"/>
    <col min="45" max="45" width="16.140625" style="14" customWidth="1"/>
    <col min="46" max="46" width="1.5703125" style="14" customWidth="1"/>
    <col min="47" max="47" width="11.42578125" style="14" customWidth="1"/>
    <col min="48" max="48" width="14.7109375" style="14" customWidth="1"/>
    <col min="49" max="49" width="1.5703125" style="14" customWidth="1"/>
    <col min="50" max="50" width="11.42578125" style="14" customWidth="1"/>
    <col min="51" max="51" width="14.7109375" style="14" customWidth="1"/>
    <col min="52" max="52" width="0.85546875" style="14" customWidth="1"/>
    <col min="53" max="53" width="11.42578125" style="14" customWidth="1"/>
    <col min="54" max="54" width="15.85546875" style="14" customWidth="1"/>
    <col min="55" max="55" width="0.85546875" style="14" customWidth="1"/>
    <col min="56" max="56" width="16.85546875" style="14" customWidth="1"/>
    <col min="57" max="57" width="11.42578125" style="14"/>
    <col min="58" max="58" width="1" style="14" customWidth="1"/>
    <col min="59" max="59" width="11.42578125" style="14" customWidth="1"/>
    <col min="60" max="60" width="16.140625" style="14" customWidth="1"/>
    <col min="61" max="61" width="14.5703125" style="70" bestFit="1" customWidth="1"/>
    <col min="62" max="16384" width="11.42578125" style="70"/>
  </cols>
  <sheetData>
    <row r="1" spans="1:62" ht="15.75" thickBot="1" x14ac:dyDescent="0.3"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</row>
    <row r="2" spans="1:62" ht="16.5" thickBot="1" x14ac:dyDescent="0.3">
      <c r="AF2" s="137" t="s">
        <v>240</v>
      </c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9"/>
    </row>
    <row r="3" spans="1:62" s="12" customFormat="1" ht="48.75" thickBot="1" x14ac:dyDescent="0.25">
      <c r="A3" s="1" t="s">
        <v>1</v>
      </c>
      <c r="B3" s="1" t="s">
        <v>2</v>
      </c>
      <c r="C3" s="63" t="s">
        <v>211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3" t="s">
        <v>8</v>
      </c>
      <c r="J3" s="3" t="s">
        <v>9</v>
      </c>
      <c r="K3" s="4" t="s">
        <v>10</v>
      </c>
      <c r="L3" s="3" t="s">
        <v>11</v>
      </c>
      <c r="M3" s="4" t="s">
        <v>12</v>
      </c>
      <c r="N3" s="3" t="s">
        <v>13</v>
      </c>
      <c r="O3" s="4" t="s">
        <v>14</v>
      </c>
      <c r="P3" s="3" t="s">
        <v>15</v>
      </c>
      <c r="Q3" s="3" t="s">
        <v>16</v>
      </c>
      <c r="R3" s="4" t="s">
        <v>17</v>
      </c>
      <c r="S3" s="3" t="s">
        <v>18</v>
      </c>
      <c r="T3" s="5" t="s">
        <v>199</v>
      </c>
      <c r="U3" s="5" t="s">
        <v>200</v>
      </c>
      <c r="V3" s="6" t="s">
        <v>198</v>
      </c>
      <c r="W3" s="7" t="s">
        <v>202</v>
      </c>
      <c r="X3" s="8" t="s">
        <v>203</v>
      </c>
      <c r="Y3" s="8" t="s">
        <v>204</v>
      </c>
      <c r="Z3" s="8" t="s">
        <v>205</v>
      </c>
      <c r="AA3" s="7" t="s">
        <v>206</v>
      </c>
      <c r="AB3" s="9" t="s">
        <v>19</v>
      </c>
      <c r="AC3" s="10" t="s">
        <v>201</v>
      </c>
      <c r="AD3" s="11" t="s">
        <v>207</v>
      </c>
      <c r="AF3" s="13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5"/>
      <c r="BC3" s="14"/>
      <c r="BD3" s="14"/>
      <c r="BE3" s="14"/>
      <c r="BF3" s="14"/>
      <c r="BG3" s="14"/>
      <c r="BH3" s="16"/>
    </row>
    <row r="4" spans="1:62" s="12" customFormat="1" ht="25.5" customHeight="1" thickBot="1" x14ac:dyDescent="0.25">
      <c r="A4" s="71"/>
      <c r="B4" s="66">
        <f>+C5</f>
        <v>0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2"/>
      <c r="W4" s="71"/>
      <c r="X4" s="71"/>
      <c r="Y4" s="71"/>
      <c r="Z4" s="71"/>
      <c r="AA4" s="71"/>
      <c r="AB4" s="71"/>
      <c r="AC4" s="71"/>
      <c r="AD4" s="71"/>
      <c r="AF4" s="140" t="s">
        <v>212</v>
      </c>
      <c r="AG4" s="141"/>
      <c r="AH4" s="14"/>
      <c r="AI4" s="142" t="s">
        <v>213</v>
      </c>
      <c r="AJ4" s="141"/>
      <c r="AK4" s="14"/>
      <c r="AL4" s="142">
        <f>+B28</f>
        <v>0</v>
      </c>
      <c r="AM4" s="141"/>
      <c r="AN4" s="14"/>
      <c r="AO4" s="142">
        <f>+B55</f>
        <v>0</v>
      </c>
      <c r="AP4" s="141"/>
      <c r="AQ4" s="14"/>
      <c r="AR4" s="142">
        <f>+B81</f>
        <v>0</v>
      </c>
      <c r="AS4" s="141"/>
      <c r="AT4" s="14"/>
      <c r="AU4" s="142">
        <f>+B97</f>
        <v>0</v>
      </c>
      <c r="AV4" s="141"/>
      <c r="AW4" s="14"/>
      <c r="AX4" s="142">
        <f>+B138</f>
        <v>0</v>
      </c>
      <c r="AY4" s="141"/>
      <c r="AZ4" s="14"/>
      <c r="BA4" s="142">
        <f>+B203</f>
        <v>0</v>
      </c>
      <c r="BB4" s="143"/>
      <c r="BC4" s="14"/>
      <c r="BD4" s="142">
        <f>+B222</f>
        <v>0</v>
      </c>
      <c r="BE4" s="143"/>
      <c r="BF4" s="14"/>
      <c r="BG4" s="142">
        <f>+B232</f>
        <v>0</v>
      </c>
      <c r="BH4" s="143"/>
    </row>
    <row r="5" spans="1:62" x14ac:dyDescent="0.2">
      <c r="A5" s="73"/>
      <c r="B5" s="74"/>
      <c r="C5" s="75"/>
      <c r="D5" s="76"/>
      <c r="E5" s="73"/>
      <c r="F5" s="73"/>
      <c r="G5" s="73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3"/>
      <c r="Y5" s="73"/>
      <c r="Z5" s="73"/>
      <c r="AA5" s="77"/>
      <c r="AB5" s="77"/>
      <c r="AC5" s="77"/>
      <c r="AD5" s="77"/>
      <c r="AF5" s="17" t="s">
        <v>214</v>
      </c>
      <c r="AG5" s="18">
        <f>+W17+AA17</f>
        <v>0</v>
      </c>
      <c r="AI5" s="19" t="s">
        <v>214</v>
      </c>
      <c r="AJ5" s="18">
        <f>+W26+AA26</f>
        <v>0</v>
      </c>
      <c r="AL5" s="19" t="s">
        <v>214</v>
      </c>
      <c r="AM5" s="18">
        <f>+W53+AA53</f>
        <v>0</v>
      </c>
      <c r="AO5" s="19" t="s">
        <v>214</v>
      </c>
      <c r="AP5" s="18">
        <f>+W79+AA79</f>
        <v>0</v>
      </c>
      <c r="AR5" s="19" t="s">
        <v>214</v>
      </c>
      <c r="AS5" s="18">
        <f>+W95+AA95</f>
        <v>0</v>
      </c>
      <c r="AU5" s="19" t="s">
        <v>214</v>
      </c>
      <c r="AV5" s="18">
        <f>+W136+AA136</f>
        <v>0</v>
      </c>
      <c r="AX5" s="19" t="s">
        <v>214</v>
      </c>
      <c r="AY5" s="18">
        <f>+W201+AA201</f>
        <v>0</v>
      </c>
      <c r="BA5" s="19" t="s">
        <v>214</v>
      </c>
      <c r="BB5" s="20">
        <f>+W220+AA220</f>
        <v>0</v>
      </c>
      <c r="BD5" s="19" t="s">
        <v>214</v>
      </c>
      <c r="BE5" s="20">
        <f>+W230+AA230</f>
        <v>0</v>
      </c>
      <c r="BG5" s="19" t="s">
        <v>214</v>
      </c>
      <c r="BH5" s="20">
        <f>+W284+AA284</f>
        <v>0</v>
      </c>
    </row>
    <row r="6" spans="1:62" x14ac:dyDescent="0.2">
      <c r="A6" s="73"/>
      <c r="B6" s="74"/>
      <c r="C6" s="75"/>
      <c r="D6" s="76"/>
      <c r="E6" s="73"/>
      <c r="F6" s="73"/>
      <c r="G6" s="73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3"/>
      <c r="Y6" s="73"/>
      <c r="Z6" s="73"/>
      <c r="AA6" s="77"/>
      <c r="AB6" s="77"/>
      <c r="AC6" s="77"/>
      <c r="AD6" s="77"/>
      <c r="AF6" s="21" t="s">
        <v>215</v>
      </c>
      <c r="AG6" s="22">
        <f>+V17</f>
        <v>0</v>
      </c>
      <c r="AI6" s="23" t="s">
        <v>215</v>
      </c>
      <c r="AJ6" s="22">
        <f>+V26</f>
        <v>0</v>
      </c>
      <c r="AL6" s="23" t="s">
        <v>215</v>
      </c>
      <c r="AM6" s="22">
        <f>+V53</f>
        <v>0</v>
      </c>
      <c r="AO6" s="23" t="s">
        <v>215</v>
      </c>
      <c r="AP6" s="22">
        <f>+V79</f>
        <v>0</v>
      </c>
      <c r="AR6" s="23" t="s">
        <v>215</v>
      </c>
      <c r="AS6" s="22">
        <f>+V95</f>
        <v>0</v>
      </c>
      <c r="AU6" s="23" t="s">
        <v>215</v>
      </c>
      <c r="AV6" s="22">
        <f>+V136</f>
        <v>0</v>
      </c>
      <c r="AX6" s="23" t="s">
        <v>215</v>
      </c>
      <c r="AY6" s="22">
        <f>+V201</f>
        <v>0</v>
      </c>
      <c r="BA6" s="23" t="s">
        <v>215</v>
      </c>
      <c r="BB6" s="24">
        <f>+V220</f>
        <v>0</v>
      </c>
      <c r="BD6" s="23" t="s">
        <v>215</v>
      </c>
      <c r="BE6" s="24">
        <f>+V230</f>
        <v>0</v>
      </c>
      <c r="BG6" s="23" t="s">
        <v>215</v>
      </c>
      <c r="BH6" s="24">
        <f>+V284</f>
        <v>0</v>
      </c>
    </row>
    <row r="7" spans="1:62" x14ac:dyDescent="0.2">
      <c r="A7" s="73"/>
      <c r="B7" s="74"/>
      <c r="C7" s="75"/>
      <c r="D7" s="76"/>
      <c r="E7" s="73"/>
      <c r="F7" s="73"/>
      <c r="G7" s="73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3"/>
      <c r="Y7" s="73"/>
      <c r="Z7" s="73"/>
      <c r="AA7" s="77"/>
      <c r="AB7" s="77"/>
      <c r="AC7" s="77"/>
      <c r="AD7" s="77"/>
      <c r="AF7" s="25" t="s">
        <v>216</v>
      </c>
      <c r="AG7" s="26">
        <f>+T17</f>
        <v>0</v>
      </c>
      <c r="AI7" s="25" t="s">
        <v>216</v>
      </c>
      <c r="AJ7" s="26">
        <f>+T26</f>
        <v>0</v>
      </c>
      <c r="AL7" s="25" t="s">
        <v>216</v>
      </c>
      <c r="AM7" s="26">
        <f>+T53</f>
        <v>0</v>
      </c>
      <c r="AO7" s="25" t="s">
        <v>216</v>
      </c>
      <c r="AP7" s="26">
        <f>+T79</f>
        <v>0</v>
      </c>
      <c r="AR7" s="25" t="s">
        <v>216</v>
      </c>
      <c r="AS7" s="26">
        <f>+T95</f>
        <v>0</v>
      </c>
      <c r="AU7" s="25" t="s">
        <v>216</v>
      </c>
      <c r="AV7" s="26">
        <f>+T136</f>
        <v>0</v>
      </c>
      <c r="AX7" s="25" t="s">
        <v>216</v>
      </c>
      <c r="AY7" s="26">
        <f>+T201</f>
        <v>0</v>
      </c>
      <c r="BA7" s="25" t="s">
        <v>216</v>
      </c>
      <c r="BB7" s="26">
        <f>+T220</f>
        <v>0</v>
      </c>
      <c r="BD7" s="25" t="s">
        <v>216</v>
      </c>
      <c r="BE7" s="26">
        <f>+T230</f>
        <v>0</v>
      </c>
      <c r="BG7" s="25" t="s">
        <v>216</v>
      </c>
      <c r="BH7" s="27">
        <f>+T284</f>
        <v>0</v>
      </c>
    </row>
    <row r="8" spans="1:62" x14ac:dyDescent="0.2">
      <c r="A8" s="73"/>
      <c r="B8" s="74"/>
      <c r="C8" s="75"/>
      <c r="D8" s="76"/>
      <c r="E8" s="73"/>
      <c r="F8" s="73"/>
      <c r="G8" s="73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3"/>
      <c r="Y8" s="73"/>
      <c r="Z8" s="73"/>
      <c r="AA8" s="77"/>
      <c r="AB8" s="77"/>
      <c r="AC8" s="77"/>
      <c r="AD8" s="77"/>
      <c r="AF8" s="25" t="s">
        <v>217</v>
      </c>
      <c r="AG8" s="26">
        <f>+U17</f>
        <v>0</v>
      </c>
      <c r="AI8" s="25" t="s">
        <v>217</v>
      </c>
      <c r="AJ8" s="26">
        <f>+U26</f>
        <v>0</v>
      </c>
      <c r="AL8" s="25" t="s">
        <v>217</v>
      </c>
      <c r="AM8" s="26">
        <f>+U53</f>
        <v>0</v>
      </c>
      <c r="AO8" s="25" t="s">
        <v>217</v>
      </c>
      <c r="AP8" s="26">
        <f>+U79</f>
        <v>0</v>
      </c>
      <c r="AR8" s="25" t="s">
        <v>217</v>
      </c>
      <c r="AS8" s="26">
        <f>+U95</f>
        <v>0</v>
      </c>
      <c r="AU8" s="25" t="s">
        <v>217</v>
      </c>
      <c r="AV8" s="26">
        <f>+U136</f>
        <v>0</v>
      </c>
      <c r="AX8" s="25" t="s">
        <v>217</v>
      </c>
      <c r="AY8" s="26">
        <f>+U201</f>
        <v>0</v>
      </c>
      <c r="BA8" s="25" t="s">
        <v>217</v>
      </c>
      <c r="BB8" s="26">
        <f>+U220</f>
        <v>0</v>
      </c>
      <c r="BD8" s="25" t="s">
        <v>217</v>
      </c>
      <c r="BE8" s="26">
        <f>+U230</f>
        <v>0</v>
      </c>
      <c r="BG8" s="25" t="s">
        <v>217</v>
      </c>
      <c r="BH8" s="27">
        <f>+U284</f>
        <v>0</v>
      </c>
    </row>
    <row r="9" spans="1:62" x14ac:dyDescent="0.2">
      <c r="A9" s="73"/>
      <c r="B9" s="74"/>
      <c r="C9" s="75"/>
      <c r="D9" s="76"/>
      <c r="E9" s="73"/>
      <c r="F9" s="73"/>
      <c r="G9" s="73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3"/>
      <c r="Y9" s="73"/>
      <c r="Z9" s="73"/>
      <c r="AA9" s="77"/>
      <c r="AB9" s="77"/>
      <c r="AC9" s="77"/>
      <c r="AD9" s="77"/>
      <c r="AF9" s="28" t="s">
        <v>218</v>
      </c>
      <c r="AG9" s="29">
        <f>+I17+J17+L17+N17+P17+Q17+S17</f>
        <v>0</v>
      </c>
      <c r="AI9" s="30" t="s">
        <v>218</v>
      </c>
      <c r="AJ9" s="29">
        <f>+I26+J26+L26+N26+P26+Q26+S26</f>
        <v>0</v>
      </c>
      <c r="AL9" s="30" t="s">
        <v>218</v>
      </c>
      <c r="AM9" s="29">
        <f>+I53+J53+L53+N53+P53+Q53+S53-4216.64</f>
        <v>-4216.6400000000003</v>
      </c>
      <c r="AO9" s="30" t="s">
        <v>218</v>
      </c>
      <c r="AP9" s="29">
        <f>+I79+J79+L79+N79+P79+Q79+S79</f>
        <v>0</v>
      </c>
      <c r="AR9" s="30" t="s">
        <v>218</v>
      </c>
      <c r="AS9" s="29">
        <f>+I95+J95+L95+N95+P95+Q95+S95</f>
        <v>0</v>
      </c>
      <c r="AU9" s="30" t="s">
        <v>218</v>
      </c>
      <c r="AV9" s="29">
        <f>+I136+J136+L136+N136+P136+Q136+S136</f>
        <v>0</v>
      </c>
      <c r="AX9" s="30" t="s">
        <v>218</v>
      </c>
      <c r="AY9" s="29">
        <f>+I201+J201+L201+N201+P201+Q201+S201</f>
        <v>0</v>
      </c>
      <c r="BA9" s="30" t="s">
        <v>218</v>
      </c>
      <c r="BB9" s="31">
        <f>+I220+J220+L220+N220+P220+Q220+S220</f>
        <v>0</v>
      </c>
      <c r="BD9" s="30" t="s">
        <v>218</v>
      </c>
      <c r="BE9" s="31">
        <f>+I230+J230+L230+N230+P230+Q230+S230</f>
        <v>0</v>
      </c>
      <c r="BG9" s="30" t="s">
        <v>218</v>
      </c>
      <c r="BH9" s="31">
        <f>+I284+J284+L284+N284+P284+Q284+S284</f>
        <v>0</v>
      </c>
    </row>
    <row r="10" spans="1:62" ht="15.75" thickBot="1" x14ac:dyDescent="0.25">
      <c r="A10" s="73"/>
      <c r="B10" s="74"/>
      <c r="C10" s="75"/>
      <c r="D10" s="76"/>
      <c r="E10" s="73"/>
      <c r="F10" s="73"/>
      <c r="G10" s="73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3"/>
      <c r="Y10" s="73"/>
      <c r="Z10" s="73"/>
      <c r="AA10" s="77"/>
      <c r="AB10" s="77"/>
      <c r="AC10" s="77"/>
      <c r="AD10" s="77"/>
      <c r="AF10" s="32" t="s">
        <v>219</v>
      </c>
      <c r="AG10" s="33">
        <f>+K17+M17+O17+R17</f>
        <v>0</v>
      </c>
      <c r="AI10" s="34" t="s">
        <v>219</v>
      </c>
      <c r="AJ10" s="33">
        <f>+K26+M26+O26+R26</f>
        <v>0</v>
      </c>
      <c r="AL10" s="34" t="s">
        <v>219</v>
      </c>
      <c r="AM10" s="33">
        <f>+K53+M53+O53+R53</f>
        <v>0</v>
      </c>
      <c r="AO10" s="34" t="s">
        <v>219</v>
      </c>
      <c r="AP10" s="33">
        <f>+K79+M79+O79+R79</f>
        <v>0</v>
      </c>
      <c r="AR10" s="34" t="s">
        <v>219</v>
      </c>
      <c r="AS10" s="33">
        <f>+K95+M95+O95+R95</f>
        <v>0</v>
      </c>
      <c r="AU10" s="34" t="s">
        <v>219</v>
      </c>
      <c r="AV10" s="33">
        <f>+K136+M136+O136+R136</f>
        <v>0</v>
      </c>
      <c r="AX10" s="34" t="s">
        <v>219</v>
      </c>
      <c r="AY10" s="33">
        <f>+K201+M201+O201+R201</f>
        <v>0</v>
      </c>
      <c r="BA10" s="34" t="s">
        <v>219</v>
      </c>
      <c r="BB10" s="35">
        <f>+K220+M220+O220+R220</f>
        <v>0</v>
      </c>
      <c r="BD10" s="34" t="s">
        <v>219</v>
      </c>
      <c r="BE10" s="35">
        <f>+K230+M230+O230+R230</f>
        <v>0</v>
      </c>
      <c r="BG10" s="34" t="s">
        <v>219</v>
      </c>
      <c r="BH10" s="35">
        <f>+K284+M284+O284+R284</f>
        <v>0</v>
      </c>
      <c r="BI10" s="102">
        <v>1473130.92</v>
      </c>
      <c r="BJ10" s="101">
        <f>+BI11-BI10</f>
        <v>-1477347.5599999998</v>
      </c>
    </row>
    <row r="11" spans="1:62" ht="15.75" thickBot="1" x14ac:dyDescent="0.25">
      <c r="A11" s="73"/>
      <c r="B11" s="74"/>
      <c r="C11" s="75"/>
      <c r="D11" s="76"/>
      <c r="E11" s="73"/>
      <c r="F11" s="73"/>
      <c r="G11" s="73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3"/>
      <c r="Y11" s="73"/>
      <c r="Z11" s="73"/>
      <c r="AA11" s="77"/>
      <c r="AB11" s="77"/>
      <c r="AC11" s="77"/>
      <c r="AD11" s="77"/>
      <c r="AF11" s="13"/>
      <c r="AG11" s="36">
        <f>SUM(AG5:AG10)</f>
        <v>0</v>
      </c>
      <c r="AJ11" s="36">
        <f>SUM(AJ5:AJ10)</f>
        <v>0</v>
      </c>
      <c r="AM11" s="36">
        <f>SUM(AM5:AM10)</f>
        <v>-4216.6400000000003</v>
      </c>
      <c r="AP11" s="36">
        <f>SUM(AP5:AP10)</f>
        <v>0</v>
      </c>
      <c r="AS11" s="36">
        <f>SUM(AS5:AS10)</f>
        <v>0</v>
      </c>
      <c r="AV11" s="36">
        <f>SUM(AV5:AV10)</f>
        <v>0</v>
      </c>
      <c r="AY11" s="36">
        <f>SUM(AY5:AY10)</f>
        <v>0</v>
      </c>
      <c r="BB11" s="37">
        <f>SUM(BB5:BB10)</f>
        <v>0</v>
      </c>
      <c r="BE11" s="37">
        <f>SUM(BE5:BE10)</f>
        <v>0</v>
      </c>
      <c r="BH11" s="37">
        <f>SUM(BH5:BH10)</f>
        <v>0</v>
      </c>
      <c r="BI11" s="101">
        <f>+AG11+AJ11+AM11+AP11+AS11+AV11+AY11+BB11+BE11+BH11</f>
        <v>-4216.6400000000003</v>
      </c>
    </row>
    <row r="12" spans="1:62" x14ac:dyDescent="0.2">
      <c r="A12" s="73"/>
      <c r="B12" s="74"/>
      <c r="C12" s="75"/>
      <c r="D12" s="76"/>
      <c r="E12" s="73"/>
      <c r="F12" s="73"/>
      <c r="G12" s="73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3"/>
      <c r="Y12" s="73"/>
      <c r="Z12" s="73"/>
      <c r="AA12" s="77"/>
      <c r="AB12" s="77"/>
      <c r="AC12" s="77"/>
      <c r="AD12" s="77"/>
      <c r="AF12" s="13"/>
      <c r="BH12" s="16"/>
    </row>
    <row r="13" spans="1:62" x14ac:dyDescent="0.2">
      <c r="A13" s="73"/>
      <c r="B13" s="74"/>
      <c r="C13" s="75"/>
      <c r="D13" s="76"/>
      <c r="E13" s="73"/>
      <c r="F13" s="73"/>
      <c r="G13" s="73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3"/>
      <c r="Y13" s="73"/>
      <c r="Z13" s="73"/>
      <c r="AA13" s="77"/>
      <c r="AB13" s="77"/>
      <c r="AC13" s="77"/>
      <c r="AD13" s="77"/>
      <c r="AF13" s="38" t="s">
        <v>220</v>
      </c>
      <c r="AG13" s="39">
        <f>+AG9+AG10+AJ9+AJ10+AM9+AM10+AS9+AS10+AV9+AV10+AY9+AY10+BB9+BB10+BH9+BH10</f>
        <v>-4216.6400000000003</v>
      </c>
      <c r="AJ13" s="39">
        <f>+AJ9+AJ10</f>
        <v>0</v>
      </c>
      <c r="AM13" s="39">
        <f>+AM9+AM10-4216.64</f>
        <v>-8433.2800000000007</v>
      </c>
      <c r="AN13" s="39"/>
      <c r="AO13" s="39"/>
      <c r="AP13" s="39">
        <f t="shared" ref="AP13" si="0">+AP9+AP10</f>
        <v>0</v>
      </c>
      <c r="AS13" s="39">
        <f>+AS9+AS10</f>
        <v>0</v>
      </c>
      <c r="AV13" s="39">
        <f>+AV9+AV10</f>
        <v>0</v>
      </c>
      <c r="AY13" s="39">
        <f>AY9+AY10</f>
        <v>0</v>
      </c>
      <c r="BB13" s="39">
        <f>+BB9+BB10</f>
        <v>0</v>
      </c>
      <c r="BC13" s="39"/>
      <c r="BD13" s="39"/>
      <c r="BE13" s="39">
        <f t="shared" ref="BE13:BH13" si="1">+BE9+BE10</f>
        <v>0</v>
      </c>
      <c r="BF13" s="39"/>
      <c r="BG13" s="39"/>
      <c r="BH13" s="40">
        <f t="shared" si="1"/>
        <v>0</v>
      </c>
    </row>
    <row r="14" spans="1:62" ht="15.75" thickBot="1" x14ac:dyDescent="0.25">
      <c r="A14" s="73"/>
      <c r="B14" s="74"/>
      <c r="C14" s="75"/>
      <c r="D14" s="76"/>
      <c r="E14" s="73"/>
      <c r="F14" s="73"/>
      <c r="G14" s="73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3"/>
      <c r="Y14" s="73"/>
      <c r="Z14" s="73"/>
      <c r="AA14" s="77"/>
      <c r="AB14" s="77"/>
      <c r="AC14" s="77"/>
      <c r="AD14" s="77"/>
      <c r="AF14" s="41">
        <f>+AG11+AJ11+AM11+AP11+AS11+AV11+AY11+BB11+BH11-AF16+BE11</f>
        <v>0</v>
      </c>
      <c r="AG14" s="42" t="s">
        <v>221</v>
      </c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3"/>
    </row>
    <row r="15" spans="1:62" x14ac:dyDescent="0.2">
      <c r="A15" s="73"/>
      <c r="B15" s="74"/>
      <c r="C15" s="75"/>
      <c r="D15" s="76"/>
      <c r="E15" s="73"/>
      <c r="F15" s="73"/>
      <c r="G15" s="73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3"/>
      <c r="Y15" s="73"/>
      <c r="Z15" s="73"/>
      <c r="AA15" s="77"/>
      <c r="AB15" s="77"/>
      <c r="AC15" s="77"/>
      <c r="AD15" s="77"/>
    </row>
    <row r="16" spans="1:62" x14ac:dyDescent="0.25">
      <c r="A16" s="73"/>
      <c r="B16" s="74"/>
      <c r="C16" s="75"/>
      <c r="D16" s="76"/>
      <c r="E16" s="73"/>
      <c r="F16" s="73"/>
      <c r="G16" s="73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3"/>
      <c r="Y16" s="73"/>
      <c r="Z16" s="73"/>
      <c r="AA16" s="77"/>
      <c r="AB16" s="77"/>
      <c r="AC16" s="77"/>
      <c r="AD16" s="77"/>
      <c r="AF16" s="83">
        <f>+BI11</f>
        <v>-4216.6400000000003</v>
      </c>
      <c r="AG16" s="14" t="s">
        <v>222</v>
      </c>
    </row>
    <row r="17" spans="1:60" x14ac:dyDescent="0.2">
      <c r="A17" s="78"/>
      <c r="B17" s="79"/>
      <c r="C17" s="78"/>
      <c r="D17" s="78"/>
      <c r="E17" s="78"/>
      <c r="F17" s="78"/>
      <c r="G17" s="78"/>
      <c r="H17" s="64"/>
      <c r="I17" s="65">
        <f>SUM(I5:I16)</f>
        <v>0</v>
      </c>
      <c r="J17" s="65">
        <f t="shared" ref="J17:AD17" si="2">SUM(J5:J16)</f>
        <v>0</v>
      </c>
      <c r="K17" s="65">
        <f t="shared" si="2"/>
        <v>0</v>
      </c>
      <c r="L17" s="65">
        <f t="shared" si="2"/>
        <v>0</v>
      </c>
      <c r="M17" s="65">
        <f t="shared" si="2"/>
        <v>0</v>
      </c>
      <c r="N17" s="65">
        <f t="shared" si="2"/>
        <v>0</v>
      </c>
      <c r="O17" s="65">
        <f t="shared" si="2"/>
        <v>0</v>
      </c>
      <c r="P17" s="65">
        <f t="shared" si="2"/>
        <v>0</v>
      </c>
      <c r="Q17" s="65">
        <f t="shared" si="2"/>
        <v>0</v>
      </c>
      <c r="R17" s="65">
        <f t="shared" si="2"/>
        <v>0</v>
      </c>
      <c r="S17" s="65">
        <f t="shared" si="2"/>
        <v>0</v>
      </c>
      <c r="T17" s="69">
        <f t="shared" si="2"/>
        <v>0</v>
      </c>
      <c r="U17" s="69">
        <f t="shared" si="2"/>
        <v>0</v>
      </c>
      <c r="V17" s="65">
        <f t="shared" si="2"/>
        <v>0</v>
      </c>
      <c r="W17" s="65">
        <f t="shared" si="2"/>
        <v>0</v>
      </c>
      <c r="X17" s="65">
        <f t="shared" si="2"/>
        <v>0</v>
      </c>
      <c r="Y17" s="65">
        <f t="shared" si="2"/>
        <v>0</v>
      </c>
      <c r="Z17" s="65">
        <f t="shared" si="2"/>
        <v>0</v>
      </c>
      <c r="AA17" s="65">
        <f t="shared" si="2"/>
        <v>0</v>
      </c>
      <c r="AB17" s="65">
        <f t="shared" si="2"/>
        <v>0</v>
      </c>
      <c r="AC17" s="65">
        <f t="shared" si="2"/>
        <v>0</v>
      </c>
      <c r="AD17" s="65">
        <f t="shared" si="2"/>
        <v>0</v>
      </c>
      <c r="AF17" s="44">
        <v>1477347.56</v>
      </c>
      <c r="AG17" s="14" t="s">
        <v>223</v>
      </c>
    </row>
    <row r="18" spans="1:60" ht="15.75" thickBot="1" x14ac:dyDescent="0.25">
      <c r="A18" s="78"/>
      <c r="B18" s="79"/>
      <c r="C18" s="78"/>
      <c r="D18" s="78"/>
      <c r="E18" s="78"/>
      <c r="F18" s="78"/>
      <c r="G18" s="78"/>
      <c r="H18" s="80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0"/>
      <c r="U18" s="80"/>
      <c r="V18" s="81"/>
      <c r="W18" s="81"/>
      <c r="X18" s="81"/>
      <c r="Y18" s="81"/>
      <c r="Z18" s="81"/>
      <c r="AA18" s="81"/>
      <c r="AB18" s="81"/>
      <c r="AC18" s="81"/>
      <c r="AD18" s="81"/>
      <c r="AF18" s="39">
        <f>+AF16-AF17</f>
        <v>-1481564.2</v>
      </c>
      <c r="AG18" s="14" t="s">
        <v>224</v>
      </c>
      <c r="AH18" s="45"/>
      <c r="AK18" s="45"/>
    </row>
    <row r="19" spans="1:60" ht="23.25" customHeight="1" thickBot="1" x14ac:dyDescent="0.3">
      <c r="A19" s="71"/>
      <c r="B19" s="66">
        <f>+C20</f>
        <v>0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2"/>
      <c r="W19" s="71"/>
      <c r="X19" s="71"/>
      <c r="Y19" s="71"/>
      <c r="Z19" s="71"/>
      <c r="AA19" s="71"/>
      <c r="AB19" s="71"/>
      <c r="AC19" s="71"/>
      <c r="AD19" s="71"/>
      <c r="AF19" s="114" t="s">
        <v>225</v>
      </c>
      <c r="AG19" s="115"/>
      <c r="AH19" s="115"/>
      <c r="AI19" s="46">
        <f>+AF21+AI21+AL21+AO21+AR21+AU21+AX21+BA21+BD21+BG21</f>
        <v>0</v>
      </c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7"/>
    </row>
    <row r="20" spans="1:60" x14ac:dyDescent="0.2">
      <c r="A20" s="73"/>
      <c r="B20" s="75"/>
      <c r="C20" s="74"/>
      <c r="D20" s="73"/>
      <c r="E20" s="73"/>
      <c r="F20" s="73"/>
      <c r="G20" s="73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3"/>
      <c r="Y20" s="73"/>
      <c r="Z20" s="73"/>
      <c r="AA20" s="77"/>
      <c r="AB20" s="77"/>
      <c r="AC20" s="77"/>
      <c r="AD20" s="77"/>
      <c r="AF20" s="116" t="str">
        <f>+AF4</f>
        <v>ADMINISTRACIÓN</v>
      </c>
      <c r="AG20" s="117"/>
      <c r="AH20" s="48"/>
      <c r="AI20" s="116" t="str">
        <f t="shared" ref="AI20:BG20" si="3">+AI4</f>
        <v>CASCO II</v>
      </c>
      <c r="AJ20" s="117"/>
      <c r="AK20" s="48"/>
      <c r="AL20" s="116">
        <f t="shared" si="3"/>
        <v>0</v>
      </c>
      <c r="AM20" s="117"/>
      <c r="AN20" s="48"/>
      <c r="AO20" s="116">
        <f t="shared" si="3"/>
        <v>0</v>
      </c>
      <c r="AP20" s="117"/>
      <c r="AQ20" s="48"/>
      <c r="AR20" s="116">
        <f t="shared" si="3"/>
        <v>0</v>
      </c>
      <c r="AS20" s="117"/>
      <c r="AT20" s="48"/>
      <c r="AU20" s="116">
        <f t="shared" si="3"/>
        <v>0</v>
      </c>
      <c r="AV20" s="117"/>
      <c r="AW20" s="48"/>
      <c r="AX20" s="116">
        <f t="shared" si="3"/>
        <v>0</v>
      </c>
      <c r="AY20" s="117"/>
      <c r="AZ20" s="48"/>
      <c r="BA20" s="116">
        <f t="shared" si="3"/>
        <v>0</v>
      </c>
      <c r="BB20" s="117"/>
      <c r="BC20" s="48"/>
      <c r="BD20" s="116">
        <f t="shared" si="3"/>
        <v>0</v>
      </c>
      <c r="BE20" s="117"/>
      <c r="BF20" s="48"/>
      <c r="BG20" s="116">
        <f t="shared" si="3"/>
        <v>0</v>
      </c>
      <c r="BH20" s="118"/>
    </row>
    <row r="21" spans="1:60" ht="15" customHeight="1" x14ac:dyDescent="0.2">
      <c r="A21" s="73"/>
      <c r="B21" s="75"/>
      <c r="C21" s="74"/>
      <c r="D21" s="73"/>
      <c r="E21" s="73"/>
      <c r="F21" s="73"/>
      <c r="G21" s="73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3"/>
      <c r="Y21" s="73"/>
      <c r="Z21" s="73"/>
      <c r="AA21" s="77"/>
      <c r="AB21" s="77"/>
      <c r="AC21" s="77"/>
      <c r="AD21" s="77"/>
      <c r="AF21" s="119">
        <f>+AG8+AG10</f>
        <v>0</v>
      </c>
      <c r="AG21" s="120"/>
      <c r="AH21" s="39"/>
      <c r="AI21" s="121">
        <f t="shared" ref="AI21:BA21" si="4">+AJ8+AJ10</f>
        <v>0</v>
      </c>
      <c r="AJ21" s="122"/>
      <c r="AK21" s="39"/>
      <c r="AL21" s="121">
        <f>+AM8+AM10</f>
        <v>0</v>
      </c>
      <c r="AM21" s="122"/>
      <c r="AN21" s="39"/>
      <c r="AO21" s="121">
        <f>+AP8+AP10</f>
        <v>0</v>
      </c>
      <c r="AP21" s="122"/>
      <c r="AQ21" s="39"/>
      <c r="AR21" s="121">
        <f>+AS8+AS10</f>
        <v>0</v>
      </c>
      <c r="AS21" s="122"/>
      <c r="AT21" s="39"/>
      <c r="AU21" s="121">
        <f t="shared" si="4"/>
        <v>0</v>
      </c>
      <c r="AV21" s="122"/>
      <c r="AW21" s="39"/>
      <c r="AX21" s="121">
        <f t="shared" si="4"/>
        <v>0</v>
      </c>
      <c r="AY21" s="122"/>
      <c r="AZ21" s="39"/>
      <c r="BA21" s="121">
        <f t="shared" si="4"/>
        <v>0</v>
      </c>
      <c r="BB21" s="122"/>
      <c r="BC21" s="39"/>
      <c r="BD21" s="121">
        <f>+BE8+BE10</f>
        <v>0</v>
      </c>
      <c r="BE21" s="122"/>
      <c r="BF21" s="39"/>
      <c r="BG21" s="121">
        <f>+BH8+BH10</f>
        <v>0</v>
      </c>
      <c r="BH21" s="123"/>
    </row>
    <row r="22" spans="1:60" ht="15" customHeight="1" x14ac:dyDescent="0.2">
      <c r="A22" s="73"/>
      <c r="B22" s="75"/>
      <c r="C22" s="74"/>
      <c r="D22" s="73"/>
      <c r="E22" s="73"/>
      <c r="F22" s="73"/>
      <c r="G22" s="73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3"/>
      <c r="Y22" s="73"/>
      <c r="Z22" s="73"/>
      <c r="AA22" s="77"/>
      <c r="AB22" s="77"/>
      <c r="AC22" s="77"/>
      <c r="AD22" s="77"/>
      <c r="AF22" s="119">
        <f>+K23+M23+O23+R23+U23</f>
        <v>0</v>
      </c>
      <c r="AG22" s="120"/>
      <c r="AI22" s="124">
        <f>+K38+M38+O38+R38+U38</f>
        <v>0</v>
      </c>
      <c r="AJ22" s="125"/>
      <c r="AL22" s="124">
        <f>+K68+M68+O68+R68+U68</f>
        <v>0</v>
      </c>
      <c r="AM22" s="125"/>
      <c r="AO22" s="124">
        <f>+K105+M105+O105+R105+U105</f>
        <v>0</v>
      </c>
      <c r="AP22" s="125"/>
      <c r="AR22" s="124">
        <f>+K117+M117+O117+R117+U117</f>
        <v>0</v>
      </c>
      <c r="AS22" s="125"/>
      <c r="AU22" s="124">
        <f>+K187+M187+O187+R187+U187</f>
        <v>0</v>
      </c>
      <c r="AV22" s="125"/>
      <c r="AX22" s="124">
        <f>+K277+M277+O277+R277+U277</f>
        <v>0</v>
      </c>
      <c r="AY22" s="125"/>
      <c r="BA22" s="124">
        <f>+K311+M311+O311+R311+U311</f>
        <v>0</v>
      </c>
      <c r="BB22" s="125"/>
      <c r="BD22" s="124">
        <f>+K322+M322+O322+R322+U322</f>
        <v>0</v>
      </c>
      <c r="BE22" s="125"/>
      <c r="BG22" s="124">
        <f>+K380+M380+O380+R380+U380</f>
        <v>0</v>
      </c>
      <c r="BH22" s="126"/>
    </row>
    <row r="23" spans="1:60" ht="15" customHeight="1" thickBot="1" x14ac:dyDescent="0.25">
      <c r="A23" s="73"/>
      <c r="B23" s="75"/>
      <c r="C23" s="74"/>
      <c r="D23" s="73"/>
      <c r="E23" s="73"/>
      <c r="F23" s="73"/>
      <c r="G23" s="73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3"/>
      <c r="Y23" s="73"/>
      <c r="Z23" s="73"/>
      <c r="AA23" s="77"/>
      <c r="AB23" s="77"/>
      <c r="AC23" s="77"/>
      <c r="AD23" s="77"/>
      <c r="AF23" s="127">
        <f>+AF21-AF22</f>
        <v>0</v>
      </c>
      <c r="AG23" s="128"/>
      <c r="AH23" s="49"/>
      <c r="AI23" s="129">
        <f t="shared" ref="AI23:BD23" si="5">+AI21-AI22</f>
        <v>0</v>
      </c>
      <c r="AJ23" s="130"/>
      <c r="AK23" s="49"/>
      <c r="AL23" s="129">
        <f t="shared" si="5"/>
        <v>0</v>
      </c>
      <c r="AM23" s="130"/>
      <c r="AN23" s="49"/>
      <c r="AO23" s="129">
        <f t="shared" si="5"/>
        <v>0</v>
      </c>
      <c r="AP23" s="130"/>
      <c r="AQ23" s="49"/>
      <c r="AR23" s="129">
        <f t="shared" si="5"/>
        <v>0</v>
      </c>
      <c r="AS23" s="130"/>
      <c r="AT23" s="49"/>
      <c r="AU23" s="129">
        <f t="shared" si="5"/>
        <v>0</v>
      </c>
      <c r="AV23" s="130"/>
      <c r="AW23" s="49"/>
      <c r="AX23" s="129">
        <f t="shared" si="5"/>
        <v>0</v>
      </c>
      <c r="AY23" s="130"/>
      <c r="AZ23" s="49"/>
      <c r="BA23" s="129">
        <f t="shared" si="5"/>
        <v>0</v>
      </c>
      <c r="BB23" s="130"/>
      <c r="BC23" s="49"/>
      <c r="BD23" s="129">
        <f t="shared" si="5"/>
        <v>0</v>
      </c>
      <c r="BE23" s="130"/>
      <c r="BF23" s="49"/>
      <c r="BG23" s="129">
        <f>+BG21-BG22</f>
        <v>0</v>
      </c>
      <c r="BH23" s="133"/>
    </row>
    <row r="24" spans="1:60" ht="15" customHeight="1" x14ac:dyDescent="0.2">
      <c r="A24" s="73"/>
      <c r="B24" s="75"/>
      <c r="C24" s="74"/>
      <c r="D24" s="73"/>
      <c r="E24" s="73"/>
      <c r="F24" s="73"/>
      <c r="G24" s="73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3"/>
      <c r="Y24" s="73"/>
      <c r="Z24" s="73"/>
      <c r="AA24" s="77"/>
      <c r="AB24" s="77"/>
      <c r="AC24" s="77"/>
      <c r="AD24" s="77"/>
      <c r="AF24" s="39"/>
      <c r="AI24" s="134"/>
      <c r="AJ24" s="134"/>
      <c r="AL24" s="134"/>
      <c r="AM24" s="134"/>
    </row>
    <row r="25" spans="1:60" ht="15" customHeight="1" thickBot="1" x14ac:dyDescent="0.25">
      <c r="A25" s="73"/>
      <c r="B25" s="75"/>
      <c r="C25" s="74"/>
      <c r="D25" s="73"/>
      <c r="E25" s="73"/>
      <c r="F25" s="73"/>
      <c r="G25" s="73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3"/>
      <c r="Y25" s="73"/>
      <c r="Z25" s="73"/>
      <c r="AA25" s="77"/>
      <c r="AB25" s="77"/>
      <c r="AC25" s="77"/>
      <c r="AD25" s="77"/>
    </row>
    <row r="26" spans="1:60" ht="15.75" thickBot="1" x14ac:dyDescent="0.3">
      <c r="A26" s="78"/>
      <c r="B26" s="79"/>
      <c r="C26" s="78"/>
      <c r="D26" s="78"/>
      <c r="E26" s="78"/>
      <c r="F26" s="78"/>
      <c r="G26" s="78"/>
      <c r="H26" s="64"/>
      <c r="I26" s="65">
        <f>SUM(I20:I25)</f>
        <v>0</v>
      </c>
      <c r="J26" s="65">
        <f t="shared" ref="J26:AD26" si="6">SUM(J20:J25)</f>
        <v>0</v>
      </c>
      <c r="K26" s="65">
        <f t="shared" si="6"/>
        <v>0</v>
      </c>
      <c r="L26" s="65">
        <f t="shared" si="6"/>
        <v>0</v>
      </c>
      <c r="M26" s="65">
        <f t="shared" si="6"/>
        <v>0</v>
      </c>
      <c r="N26" s="65">
        <f t="shared" si="6"/>
        <v>0</v>
      </c>
      <c r="O26" s="65">
        <f t="shared" si="6"/>
        <v>0</v>
      </c>
      <c r="P26" s="65">
        <f t="shared" si="6"/>
        <v>0</v>
      </c>
      <c r="Q26" s="65">
        <f t="shared" si="6"/>
        <v>0</v>
      </c>
      <c r="R26" s="65">
        <f t="shared" si="6"/>
        <v>0</v>
      </c>
      <c r="S26" s="65">
        <f t="shared" si="6"/>
        <v>0</v>
      </c>
      <c r="T26" s="69">
        <f t="shared" si="6"/>
        <v>0</v>
      </c>
      <c r="U26" s="69">
        <f t="shared" si="6"/>
        <v>0</v>
      </c>
      <c r="V26" s="65">
        <f t="shared" si="6"/>
        <v>0</v>
      </c>
      <c r="W26" s="65">
        <f t="shared" si="6"/>
        <v>0</v>
      </c>
      <c r="X26" s="65">
        <f t="shared" si="6"/>
        <v>0</v>
      </c>
      <c r="Y26" s="65">
        <f t="shared" si="6"/>
        <v>0</v>
      </c>
      <c r="Z26" s="65">
        <f t="shared" si="6"/>
        <v>0</v>
      </c>
      <c r="AA26" s="65">
        <f t="shared" si="6"/>
        <v>0</v>
      </c>
      <c r="AB26" s="65">
        <f t="shared" si="6"/>
        <v>0</v>
      </c>
      <c r="AC26" s="65">
        <f t="shared" si="6"/>
        <v>0</v>
      </c>
      <c r="AD26" s="65">
        <f t="shared" si="6"/>
        <v>0</v>
      </c>
      <c r="AF26" s="50" t="s">
        <v>226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2"/>
    </row>
    <row r="27" spans="1:60" ht="15.75" thickBot="1" x14ac:dyDescent="0.3">
      <c r="A27" s="78"/>
      <c r="B27" s="79"/>
      <c r="C27" s="78"/>
      <c r="D27" s="78"/>
      <c r="E27" s="78"/>
      <c r="F27" s="78"/>
      <c r="G27" s="78"/>
      <c r="H27" s="80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0"/>
      <c r="U27" s="80"/>
      <c r="V27" s="81"/>
      <c r="W27" s="81"/>
      <c r="X27" s="81"/>
      <c r="Y27" s="81"/>
      <c r="Z27" s="81"/>
      <c r="AA27" s="81"/>
      <c r="AB27" s="81"/>
      <c r="AC27" s="81"/>
      <c r="AD27" s="81"/>
      <c r="AF27" s="135" t="s">
        <v>212</v>
      </c>
      <c r="AG27" s="136"/>
      <c r="AH27" s="12"/>
      <c r="AI27" s="135" t="s">
        <v>227</v>
      </c>
      <c r="AJ27" s="136"/>
      <c r="AK27" s="12"/>
      <c r="AL27" s="135" t="s">
        <v>228</v>
      </c>
      <c r="AM27" s="136"/>
      <c r="AN27" s="12"/>
      <c r="AO27" s="135" t="s">
        <v>229</v>
      </c>
      <c r="AP27" s="136"/>
      <c r="AQ27" s="12"/>
      <c r="AR27" s="135" t="s">
        <v>230</v>
      </c>
      <c r="AS27" s="136"/>
      <c r="AT27" s="12"/>
      <c r="AU27" s="135"/>
      <c r="AV27" s="136"/>
      <c r="AW27" s="12"/>
      <c r="AX27" s="135"/>
      <c r="AY27" s="136"/>
      <c r="AZ27" s="12"/>
      <c r="BA27" s="135" t="s">
        <v>231</v>
      </c>
      <c r="BB27" s="136"/>
      <c r="BC27" s="12"/>
      <c r="BD27" s="135" t="s">
        <v>232</v>
      </c>
      <c r="BE27" s="136"/>
      <c r="BF27" s="12"/>
      <c r="BG27" s="135" t="s">
        <v>233</v>
      </c>
      <c r="BH27" s="136"/>
    </row>
    <row r="28" spans="1:60" ht="23.25" customHeight="1" x14ac:dyDescent="0.2">
      <c r="A28" s="71"/>
      <c r="B28" s="66">
        <f>+C29</f>
        <v>0</v>
      </c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2"/>
      <c r="W28" s="71"/>
      <c r="X28" s="71"/>
      <c r="Y28" s="71"/>
      <c r="Z28" s="71"/>
      <c r="AA28" s="71"/>
      <c r="AB28" s="71"/>
      <c r="AC28" s="71"/>
      <c r="AD28" s="71"/>
      <c r="AF28" s="53" t="s">
        <v>214</v>
      </c>
      <c r="AG28" s="54">
        <f>+AG5</f>
        <v>0</v>
      </c>
      <c r="AI28" s="53" t="s">
        <v>214</v>
      </c>
      <c r="AJ28" s="54">
        <f>+AJ5+AY5</f>
        <v>0</v>
      </c>
      <c r="AL28" s="53" t="s">
        <v>214</v>
      </c>
      <c r="AM28" s="54">
        <f>+AM5</f>
        <v>0</v>
      </c>
      <c r="AO28" s="53" t="s">
        <v>214</v>
      </c>
      <c r="AP28" s="54">
        <f>+AP5</f>
        <v>0</v>
      </c>
      <c r="AR28" s="53" t="s">
        <v>214</v>
      </c>
      <c r="AS28" s="54">
        <f>+AS5+AV5</f>
        <v>0</v>
      </c>
      <c r="AU28" s="53"/>
      <c r="AV28" s="54"/>
      <c r="AX28" s="53"/>
      <c r="AY28" s="54"/>
      <c r="BA28" s="53" t="s">
        <v>214</v>
      </c>
      <c r="BB28" s="54">
        <f>+BB5</f>
        <v>0</v>
      </c>
      <c r="BD28" s="53" t="s">
        <v>214</v>
      </c>
      <c r="BE28" s="54">
        <f>+BE5</f>
        <v>0</v>
      </c>
      <c r="BG28" s="53" t="s">
        <v>214</v>
      </c>
      <c r="BH28" s="54">
        <f>+BH5</f>
        <v>0</v>
      </c>
    </row>
    <row r="29" spans="1:60" x14ac:dyDescent="0.2">
      <c r="A29" s="73"/>
      <c r="B29" s="75"/>
      <c r="C29" s="74"/>
      <c r="D29" s="73"/>
      <c r="E29" s="73"/>
      <c r="F29" s="73"/>
      <c r="G29" s="73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3"/>
      <c r="Y29" s="73"/>
      <c r="Z29" s="73"/>
      <c r="AA29" s="77"/>
      <c r="AB29" s="77"/>
      <c r="AC29" s="77"/>
      <c r="AD29" s="77"/>
      <c r="AF29" s="55" t="s">
        <v>215</v>
      </c>
      <c r="AG29" s="56">
        <f>+AG6</f>
        <v>0</v>
      </c>
      <c r="AI29" s="55" t="s">
        <v>215</v>
      </c>
      <c r="AJ29" s="56">
        <f>+AJ6+AY6</f>
        <v>0</v>
      </c>
      <c r="AL29" s="55" t="s">
        <v>215</v>
      </c>
      <c r="AM29" s="56">
        <f>+AM6</f>
        <v>0</v>
      </c>
      <c r="AO29" s="55" t="s">
        <v>215</v>
      </c>
      <c r="AP29" s="56">
        <f>+AP6</f>
        <v>0</v>
      </c>
      <c r="AR29" s="55" t="s">
        <v>215</v>
      </c>
      <c r="AS29" s="56">
        <f>+AS6+AV6</f>
        <v>0</v>
      </c>
      <c r="AU29" s="55" t="s">
        <v>234</v>
      </c>
      <c r="AV29" s="56"/>
      <c r="AX29" s="55" t="s">
        <v>235</v>
      </c>
      <c r="AY29" s="56"/>
      <c r="BA29" s="55" t="s">
        <v>215</v>
      </c>
      <c r="BB29" s="56">
        <f>+BB6</f>
        <v>0</v>
      </c>
      <c r="BD29" s="55" t="s">
        <v>215</v>
      </c>
      <c r="BE29" s="56">
        <f>+BE6</f>
        <v>0</v>
      </c>
      <c r="BG29" s="55" t="s">
        <v>215</v>
      </c>
      <c r="BH29" s="56">
        <f>+BH6</f>
        <v>0</v>
      </c>
    </row>
    <row r="30" spans="1:60" ht="15" customHeight="1" x14ac:dyDescent="0.2">
      <c r="A30" s="73"/>
      <c r="B30" s="75"/>
      <c r="C30" s="74"/>
      <c r="D30" s="73"/>
      <c r="E30" s="73"/>
      <c r="F30" s="73"/>
      <c r="G30" s="73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3"/>
      <c r="Y30" s="73"/>
      <c r="Z30" s="73"/>
      <c r="AA30" s="77"/>
      <c r="AB30" s="77"/>
      <c r="AC30" s="77"/>
      <c r="AD30" s="77"/>
      <c r="AF30" s="55" t="s">
        <v>217</v>
      </c>
      <c r="AG30" s="56">
        <f>+AG8</f>
        <v>0</v>
      </c>
      <c r="AI30" s="55" t="s">
        <v>217</v>
      </c>
      <c r="AJ30" s="56">
        <f>+AJ8+AY8</f>
        <v>0</v>
      </c>
      <c r="AL30" s="55" t="s">
        <v>217</v>
      </c>
      <c r="AM30" s="56">
        <f>+AM8</f>
        <v>0</v>
      </c>
      <c r="AO30" s="55" t="s">
        <v>217</v>
      </c>
      <c r="AP30" s="56">
        <f>+AP8</f>
        <v>0</v>
      </c>
      <c r="AR30" s="55" t="s">
        <v>217</v>
      </c>
      <c r="AS30" s="56">
        <f>+AS8+AV8</f>
        <v>0</v>
      </c>
      <c r="AU30" s="55"/>
      <c r="AV30" s="56"/>
      <c r="AX30" s="55"/>
      <c r="AY30" s="56"/>
      <c r="BA30" s="55" t="s">
        <v>217</v>
      </c>
      <c r="BB30" s="56">
        <f>+BB8</f>
        <v>0</v>
      </c>
      <c r="BD30" s="55" t="s">
        <v>217</v>
      </c>
      <c r="BE30" s="56">
        <f>+BE8</f>
        <v>0</v>
      </c>
      <c r="BG30" s="55" t="s">
        <v>217</v>
      </c>
      <c r="BH30" s="56">
        <f>+BH8</f>
        <v>0</v>
      </c>
    </row>
    <row r="31" spans="1:60" ht="15" customHeight="1" x14ac:dyDescent="0.2">
      <c r="A31" s="73"/>
      <c r="B31" s="75"/>
      <c r="C31" s="74"/>
      <c r="D31" s="73"/>
      <c r="E31" s="73"/>
      <c r="F31" s="73"/>
      <c r="G31" s="73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3"/>
      <c r="Y31" s="73"/>
      <c r="Z31" s="73"/>
      <c r="AA31" s="77"/>
      <c r="AB31" s="77"/>
      <c r="AC31" s="77"/>
      <c r="AD31" s="77"/>
      <c r="AF31" s="55" t="s">
        <v>219</v>
      </c>
      <c r="AG31" s="56">
        <f>+AG10</f>
        <v>0</v>
      </c>
      <c r="AI31" s="55" t="s">
        <v>219</v>
      </c>
      <c r="AJ31" s="56">
        <f>+AJ10+AY10</f>
        <v>0</v>
      </c>
      <c r="AL31" s="55" t="s">
        <v>219</v>
      </c>
      <c r="AM31" s="56">
        <f>+AM10</f>
        <v>0</v>
      </c>
      <c r="AO31" s="55" t="s">
        <v>219</v>
      </c>
      <c r="AP31" s="56">
        <f>+AP10</f>
        <v>0</v>
      </c>
      <c r="AR31" s="55" t="s">
        <v>219</v>
      </c>
      <c r="AS31" s="56">
        <f>+AS10+AV10</f>
        <v>0</v>
      </c>
      <c r="AU31" s="55"/>
      <c r="AV31" s="56"/>
      <c r="AX31" s="55"/>
      <c r="AY31" s="56"/>
      <c r="BA31" s="55" t="s">
        <v>219</v>
      </c>
      <c r="BB31" s="56">
        <f>+BB10</f>
        <v>0</v>
      </c>
      <c r="BD31" s="55" t="s">
        <v>219</v>
      </c>
      <c r="BE31" s="56">
        <f>+BE10</f>
        <v>0</v>
      </c>
      <c r="BG31" s="55" t="s">
        <v>219</v>
      </c>
      <c r="BH31" s="56">
        <f>+BH10</f>
        <v>0</v>
      </c>
    </row>
    <row r="32" spans="1:60" ht="15" customHeight="1" x14ac:dyDescent="0.2">
      <c r="A32" s="73"/>
      <c r="B32" s="75"/>
      <c r="C32" s="74"/>
      <c r="D32" s="73"/>
      <c r="E32" s="73"/>
      <c r="F32" s="73"/>
      <c r="G32" s="73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3"/>
      <c r="Y32" s="73"/>
      <c r="Z32" s="73"/>
      <c r="AA32" s="77"/>
      <c r="AB32" s="77"/>
      <c r="AC32" s="77"/>
      <c r="AD32" s="77"/>
      <c r="AF32" s="57" t="s">
        <v>236</v>
      </c>
      <c r="AG32" s="56">
        <f>+AG9+AG7</f>
        <v>0</v>
      </c>
      <c r="AI32" s="57" t="s">
        <v>236</v>
      </c>
      <c r="AJ32" s="56">
        <f>+AJ7+AJ9+AY7+AY9</f>
        <v>0</v>
      </c>
      <c r="AL32" s="57" t="s">
        <v>236</v>
      </c>
      <c r="AM32" s="56">
        <f>+AM7+AM9</f>
        <v>-4216.6400000000003</v>
      </c>
      <c r="AO32" s="57" t="s">
        <v>236</v>
      </c>
      <c r="AP32" s="56">
        <f>+AP7+AP9</f>
        <v>0</v>
      </c>
      <c r="AR32" s="57" t="s">
        <v>236</v>
      </c>
      <c r="AS32" s="56">
        <f>+AS7+AS9+AV7+AV9</f>
        <v>0</v>
      </c>
      <c r="AU32" s="57"/>
      <c r="AV32" s="56"/>
      <c r="AX32" s="57"/>
      <c r="AY32" s="56"/>
      <c r="BA32" s="57" t="s">
        <v>236</v>
      </c>
      <c r="BB32" s="56">
        <f>+BB7+BB9</f>
        <v>0</v>
      </c>
      <c r="BD32" s="57" t="s">
        <v>236</v>
      </c>
      <c r="BE32" s="56">
        <f>+BE7+BE9</f>
        <v>0</v>
      </c>
      <c r="BG32" s="57" t="s">
        <v>236</v>
      </c>
      <c r="BH32" s="56">
        <f>+BH7+BH9</f>
        <v>0</v>
      </c>
    </row>
    <row r="33" spans="1:60" ht="15" customHeight="1" x14ac:dyDescent="0.2">
      <c r="A33" s="73"/>
      <c r="B33" s="75"/>
      <c r="C33" s="74"/>
      <c r="D33" s="73"/>
      <c r="E33" s="73"/>
      <c r="F33" s="73"/>
      <c r="G33" s="73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3"/>
      <c r="Y33" s="73"/>
      <c r="Z33" s="73"/>
      <c r="AA33" s="77"/>
      <c r="AB33" s="77"/>
      <c r="AC33" s="77"/>
      <c r="AD33" s="77"/>
      <c r="AF33" s="58" t="s">
        <v>237</v>
      </c>
      <c r="AG33" s="59">
        <f>SUM(AG28:AG32)</f>
        <v>0</v>
      </c>
      <c r="AI33" s="58" t="s">
        <v>237</v>
      </c>
      <c r="AJ33" s="59">
        <f>SUM(AJ28:AJ32)</f>
        <v>0</v>
      </c>
      <c r="AL33" s="58" t="s">
        <v>237</v>
      </c>
      <c r="AM33" s="59">
        <f>SUM(AM28:AM32)</f>
        <v>-4216.6400000000003</v>
      </c>
      <c r="AO33" s="58" t="s">
        <v>237</v>
      </c>
      <c r="AP33" s="59">
        <f>SUM(AP28:AP32)</f>
        <v>0</v>
      </c>
      <c r="AR33" s="58" t="s">
        <v>237</v>
      </c>
      <c r="AS33" s="59">
        <f>SUM(AS28:AS32)</f>
        <v>0</v>
      </c>
      <c r="AU33" s="58"/>
      <c r="AV33" s="59"/>
      <c r="AX33" s="58"/>
      <c r="AY33" s="59"/>
      <c r="BA33" s="58" t="s">
        <v>237</v>
      </c>
      <c r="BB33" s="59">
        <f>SUM(BB28:BB32)</f>
        <v>0</v>
      </c>
      <c r="BD33" s="58" t="s">
        <v>237</v>
      </c>
      <c r="BE33" s="59">
        <f>SUM(BE28:BE32)</f>
        <v>0</v>
      </c>
      <c r="BG33" s="58" t="s">
        <v>237</v>
      </c>
      <c r="BH33" s="59">
        <f>SUM(BH28:BH32)</f>
        <v>0</v>
      </c>
    </row>
    <row r="34" spans="1:60" ht="15" customHeight="1" thickBot="1" x14ac:dyDescent="0.25">
      <c r="A34" s="73"/>
      <c r="B34" s="75"/>
      <c r="C34" s="74"/>
      <c r="D34" s="73"/>
      <c r="E34" s="73"/>
      <c r="F34" s="73"/>
      <c r="G34" s="73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3"/>
      <c r="Y34" s="73"/>
      <c r="Z34" s="73"/>
      <c r="AA34" s="77"/>
      <c r="AB34" s="77"/>
      <c r="AC34" s="77"/>
      <c r="AD34" s="77"/>
      <c r="AF34" s="60" t="s">
        <v>224</v>
      </c>
      <c r="AG34" s="61">
        <f>+AG11-AG33</f>
        <v>0</v>
      </c>
      <c r="AI34" s="60" t="s">
        <v>224</v>
      </c>
      <c r="AJ34" s="61">
        <f>+AJ11+AY11-AJ33</f>
        <v>0</v>
      </c>
      <c r="AL34" s="60" t="s">
        <v>224</v>
      </c>
      <c r="AM34" s="61">
        <f>+AM11-AM33</f>
        <v>0</v>
      </c>
      <c r="AO34" s="60" t="s">
        <v>224</v>
      </c>
      <c r="AP34" s="61">
        <f>+AP11-AP33</f>
        <v>0</v>
      </c>
      <c r="AR34" s="60" t="s">
        <v>224</v>
      </c>
      <c r="AS34" s="61">
        <f>+AS11+AV11-AS33</f>
        <v>0</v>
      </c>
      <c r="AU34" s="60"/>
      <c r="AV34" s="61"/>
      <c r="AX34" s="60"/>
      <c r="AY34" s="61"/>
      <c r="BA34" s="60" t="s">
        <v>224</v>
      </c>
      <c r="BB34" s="61">
        <f>+BB11-BB33</f>
        <v>0</v>
      </c>
      <c r="BD34" s="60" t="s">
        <v>224</v>
      </c>
      <c r="BE34" s="61">
        <f>+BE11-BE33</f>
        <v>0</v>
      </c>
      <c r="BG34" s="60" t="s">
        <v>224</v>
      </c>
      <c r="BH34" s="61">
        <f>+BH11-BH33</f>
        <v>0</v>
      </c>
    </row>
    <row r="35" spans="1:60" ht="15" customHeight="1" thickBot="1" x14ac:dyDescent="0.25">
      <c r="A35" s="73"/>
      <c r="B35" s="75"/>
      <c r="C35" s="74"/>
      <c r="D35" s="73"/>
      <c r="E35" s="73"/>
      <c r="F35" s="73"/>
      <c r="G35" s="73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3"/>
      <c r="Y35" s="73"/>
      <c r="Z35" s="73"/>
      <c r="AA35" s="77"/>
      <c r="AB35" s="77"/>
      <c r="AC35" s="77"/>
      <c r="AD35" s="77"/>
    </row>
    <row r="36" spans="1:60" ht="15" customHeight="1" thickBot="1" x14ac:dyDescent="0.25">
      <c r="A36" s="73"/>
      <c r="B36" s="75"/>
      <c r="C36" s="74"/>
      <c r="D36" s="73"/>
      <c r="E36" s="73"/>
      <c r="F36" s="73"/>
      <c r="G36" s="73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3"/>
      <c r="Y36" s="73"/>
      <c r="Z36" s="73"/>
      <c r="AA36" s="77"/>
      <c r="AB36" s="77"/>
      <c r="AC36" s="77"/>
      <c r="AD36" s="77"/>
      <c r="AF36" s="131" t="s">
        <v>238</v>
      </c>
      <c r="AG36" s="132"/>
    </row>
    <row r="37" spans="1:60" ht="15" customHeight="1" x14ac:dyDescent="0.2">
      <c r="A37" s="73"/>
      <c r="B37" s="75"/>
      <c r="C37" s="74"/>
      <c r="D37" s="73"/>
      <c r="E37" s="73"/>
      <c r="F37" s="73"/>
      <c r="G37" s="73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3"/>
      <c r="Y37" s="73"/>
      <c r="Z37" s="73"/>
      <c r="AA37" s="77"/>
      <c r="AB37" s="77"/>
      <c r="AC37" s="77"/>
      <c r="AD37" s="77"/>
      <c r="AF37" s="55" t="s">
        <v>214</v>
      </c>
      <c r="AG37" s="56">
        <f>+AG28+AJ28+AM28+AP28+AS28+BB28+BE28+BH28</f>
        <v>0</v>
      </c>
    </row>
    <row r="38" spans="1:60" ht="15" customHeight="1" x14ac:dyDescent="0.2">
      <c r="A38" s="73"/>
      <c r="B38" s="75"/>
      <c r="C38" s="74"/>
      <c r="D38" s="73"/>
      <c r="E38" s="73"/>
      <c r="F38" s="73"/>
      <c r="G38" s="73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3"/>
      <c r="Y38" s="73"/>
      <c r="Z38" s="73"/>
      <c r="AA38" s="77"/>
      <c r="AB38" s="77"/>
      <c r="AC38" s="77"/>
      <c r="AD38" s="77"/>
      <c r="AF38" s="55" t="s">
        <v>215</v>
      </c>
      <c r="AG38" s="56">
        <f t="shared" ref="AG38:AG41" si="7">+AG29+AJ29+AM29+AP29+AS29+BB29+BE29+BH29</f>
        <v>0</v>
      </c>
    </row>
    <row r="39" spans="1:60" ht="15" customHeight="1" x14ac:dyDescent="0.2">
      <c r="A39" s="73"/>
      <c r="B39" s="75"/>
      <c r="C39" s="74"/>
      <c r="D39" s="73"/>
      <c r="E39" s="73"/>
      <c r="F39" s="73"/>
      <c r="G39" s="73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3"/>
      <c r="Y39" s="73"/>
      <c r="Z39" s="73"/>
      <c r="AA39" s="77"/>
      <c r="AB39" s="77"/>
      <c r="AC39" s="77"/>
      <c r="AD39" s="77"/>
      <c r="AF39" s="55" t="s">
        <v>217</v>
      </c>
      <c r="AG39" s="56">
        <f t="shared" si="7"/>
        <v>0</v>
      </c>
    </row>
    <row r="40" spans="1:60" ht="15" customHeight="1" x14ac:dyDescent="0.2">
      <c r="A40" s="73"/>
      <c r="B40" s="75"/>
      <c r="C40" s="74"/>
      <c r="D40" s="73"/>
      <c r="E40" s="73"/>
      <c r="F40" s="73"/>
      <c r="G40" s="73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3"/>
      <c r="Y40" s="73"/>
      <c r="Z40" s="73"/>
      <c r="AA40" s="77"/>
      <c r="AB40" s="77"/>
      <c r="AC40" s="77"/>
      <c r="AD40" s="77"/>
      <c r="AF40" s="55" t="s">
        <v>219</v>
      </c>
      <c r="AG40" s="56">
        <f t="shared" si="7"/>
        <v>0</v>
      </c>
    </row>
    <row r="41" spans="1:60" ht="15" customHeight="1" x14ac:dyDescent="0.2">
      <c r="A41" s="73"/>
      <c r="B41" s="75"/>
      <c r="C41" s="74"/>
      <c r="D41" s="73"/>
      <c r="E41" s="73"/>
      <c r="F41" s="73"/>
      <c r="G41" s="73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3"/>
      <c r="Y41" s="73"/>
      <c r="Z41" s="73"/>
      <c r="AA41" s="77"/>
      <c r="AB41" s="77"/>
      <c r="AC41" s="77"/>
      <c r="AD41" s="77"/>
      <c r="AF41" s="57" t="s">
        <v>236</v>
      </c>
      <c r="AG41" s="56">
        <f t="shared" si="7"/>
        <v>-4216.6400000000003</v>
      </c>
    </row>
    <row r="42" spans="1:60" ht="15" customHeight="1" x14ac:dyDescent="0.2">
      <c r="A42" s="73"/>
      <c r="B42" s="75"/>
      <c r="C42" s="74"/>
      <c r="D42" s="73"/>
      <c r="E42" s="73"/>
      <c r="F42" s="73"/>
      <c r="G42" s="73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3"/>
      <c r="Y42" s="73"/>
      <c r="Z42" s="73"/>
      <c r="AA42" s="77"/>
      <c r="AB42" s="77"/>
      <c r="AC42" s="77"/>
      <c r="AD42" s="77"/>
      <c r="AF42" s="58" t="s">
        <v>237</v>
      </c>
      <c r="AG42" s="56">
        <f>+AG33+AJ33+AM33+AP33+AS33+BB33+BE33+BH33</f>
        <v>-4216.6400000000003</v>
      </c>
    </row>
    <row r="43" spans="1:60" ht="15" customHeight="1" thickBot="1" x14ac:dyDescent="0.25">
      <c r="A43" s="73"/>
      <c r="B43" s="75"/>
      <c r="C43" s="74"/>
      <c r="D43" s="73"/>
      <c r="E43" s="73"/>
      <c r="F43" s="73"/>
      <c r="G43" s="73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3"/>
      <c r="Y43" s="73"/>
      <c r="Z43" s="73"/>
      <c r="AA43" s="77"/>
      <c r="AB43" s="77"/>
      <c r="AC43" s="77"/>
      <c r="AD43" s="77"/>
      <c r="AF43" s="60" t="s">
        <v>224</v>
      </c>
      <c r="AG43" s="61">
        <f>+AG34+AJ34+AM34+AP34+AS34+BB34+BE34+BH34</f>
        <v>0</v>
      </c>
    </row>
    <row r="44" spans="1:60" ht="15" customHeight="1" x14ac:dyDescent="0.2">
      <c r="A44" s="73"/>
      <c r="B44" s="75"/>
      <c r="C44" s="74"/>
      <c r="D44" s="73"/>
      <c r="E44" s="73"/>
      <c r="F44" s="73"/>
      <c r="G44" s="73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3"/>
      <c r="Y44" s="73"/>
      <c r="Z44" s="73"/>
      <c r="AA44" s="77"/>
      <c r="AB44" s="77"/>
      <c r="AC44" s="77"/>
      <c r="AD44" s="77"/>
    </row>
    <row r="45" spans="1:60" ht="15" customHeight="1" x14ac:dyDescent="0.2">
      <c r="A45" s="73"/>
      <c r="B45" s="75"/>
      <c r="C45" s="74"/>
      <c r="D45" s="73"/>
      <c r="E45" s="73"/>
      <c r="F45" s="73"/>
      <c r="G45" s="73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3"/>
      <c r="Y45" s="73"/>
      <c r="Z45" s="73"/>
      <c r="AA45" s="77"/>
      <c r="AB45" s="77"/>
      <c r="AC45" s="77"/>
      <c r="AD45" s="77"/>
    </row>
    <row r="46" spans="1:60" ht="15" customHeight="1" x14ac:dyDescent="0.2">
      <c r="A46" s="73"/>
      <c r="B46" s="75"/>
      <c r="C46" s="74"/>
      <c r="D46" s="73"/>
      <c r="E46" s="73"/>
      <c r="F46" s="73"/>
      <c r="G46" s="73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3"/>
      <c r="Y46" s="73"/>
      <c r="Z46" s="73"/>
      <c r="AA46" s="77"/>
      <c r="AB46" s="77"/>
      <c r="AC46" s="77"/>
      <c r="AD46" s="77"/>
    </row>
    <row r="47" spans="1:60" ht="15" customHeight="1" x14ac:dyDescent="0.2">
      <c r="A47" s="73"/>
      <c r="B47" s="75"/>
      <c r="C47" s="74"/>
      <c r="D47" s="73"/>
      <c r="E47" s="73"/>
      <c r="F47" s="73"/>
      <c r="G47" s="73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3"/>
      <c r="Y47" s="73"/>
      <c r="Z47" s="73"/>
      <c r="AA47" s="77"/>
      <c r="AB47" s="77"/>
      <c r="AC47" s="77"/>
      <c r="AD47" s="77"/>
    </row>
    <row r="48" spans="1:60" ht="15" customHeight="1" x14ac:dyDescent="0.2">
      <c r="A48" s="73"/>
      <c r="B48" s="75"/>
      <c r="C48" s="74"/>
      <c r="D48" s="73"/>
      <c r="E48" s="73"/>
      <c r="F48" s="73"/>
      <c r="G48" s="73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3"/>
      <c r="Y48" s="73"/>
      <c r="Z48" s="73"/>
      <c r="AA48" s="77"/>
      <c r="AB48" s="77"/>
      <c r="AC48" s="77"/>
      <c r="AD48" s="77"/>
      <c r="AG48" s="39"/>
    </row>
    <row r="49" spans="1:60" ht="15" customHeight="1" x14ac:dyDescent="0.2">
      <c r="A49" s="73"/>
      <c r="B49" s="75"/>
      <c r="C49" s="74"/>
      <c r="D49" s="73"/>
      <c r="E49" s="73"/>
      <c r="F49" s="73"/>
      <c r="G49" s="73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3"/>
      <c r="Y49" s="73"/>
      <c r="Z49" s="73"/>
      <c r="AA49" s="77"/>
      <c r="AB49" s="77"/>
      <c r="AC49" s="77"/>
      <c r="AD49" s="77"/>
      <c r="AJ49" s="39"/>
      <c r="AM49" s="39"/>
      <c r="AS49" s="39"/>
      <c r="AV49" s="39"/>
      <c r="AY49" s="39"/>
      <c r="BB49" s="39"/>
      <c r="BH49" s="39"/>
    </row>
    <row r="50" spans="1:60" ht="15" customHeight="1" x14ac:dyDescent="0.2">
      <c r="A50" s="73"/>
      <c r="B50" s="75"/>
      <c r="C50" s="74"/>
      <c r="D50" s="73"/>
      <c r="E50" s="73"/>
      <c r="F50" s="73"/>
      <c r="G50" s="73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3"/>
      <c r="Y50" s="73"/>
      <c r="Z50" s="73"/>
      <c r="AA50" s="77"/>
      <c r="AB50" s="77"/>
      <c r="AC50" s="77"/>
      <c r="AD50" s="77"/>
    </row>
    <row r="51" spans="1:60" ht="15" customHeight="1" x14ac:dyDescent="0.2">
      <c r="A51" s="73"/>
      <c r="B51" s="75"/>
      <c r="C51" s="74"/>
      <c r="D51" s="73"/>
      <c r="E51" s="73"/>
      <c r="F51" s="73"/>
      <c r="G51" s="73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3"/>
      <c r="Y51" s="73"/>
      <c r="Z51" s="73"/>
      <c r="AA51" s="77"/>
      <c r="AB51" s="77"/>
      <c r="AC51" s="77"/>
      <c r="AD51" s="77"/>
    </row>
    <row r="52" spans="1:60" ht="15" customHeight="1" x14ac:dyDescent="0.2">
      <c r="A52" s="73"/>
      <c r="B52" s="75"/>
      <c r="C52" s="74"/>
      <c r="D52" s="73"/>
      <c r="E52" s="73"/>
      <c r="F52" s="73"/>
      <c r="G52" s="73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3"/>
      <c r="Y52" s="73"/>
      <c r="Z52" s="73"/>
      <c r="AA52" s="77"/>
      <c r="AB52" s="77"/>
      <c r="AC52" s="77"/>
      <c r="AD52" s="77"/>
    </row>
    <row r="53" spans="1:60" x14ac:dyDescent="0.2">
      <c r="A53" s="78"/>
      <c r="B53" s="79"/>
      <c r="C53" s="78"/>
      <c r="D53" s="78"/>
      <c r="E53" s="78"/>
      <c r="F53" s="78"/>
      <c r="G53" s="78"/>
      <c r="H53" s="64"/>
      <c r="I53" s="65">
        <f>SUM(I29:I52)</f>
        <v>0</v>
      </c>
      <c r="J53" s="65">
        <f t="shared" ref="J53:AD53" si="8">SUM(J29:J52)</f>
        <v>0</v>
      </c>
      <c r="K53" s="65">
        <f t="shared" si="8"/>
        <v>0</v>
      </c>
      <c r="L53" s="65">
        <f t="shared" si="8"/>
        <v>0</v>
      </c>
      <c r="M53" s="65">
        <f t="shared" si="8"/>
        <v>0</v>
      </c>
      <c r="N53" s="65">
        <f t="shared" si="8"/>
        <v>0</v>
      </c>
      <c r="O53" s="65">
        <f t="shared" si="8"/>
        <v>0</v>
      </c>
      <c r="P53" s="65">
        <f t="shared" si="8"/>
        <v>0</v>
      </c>
      <c r="Q53" s="65">
        <f t="shared" si="8"/>
        <v>0</v>
      </c>
      <c r="R53" s="65">
        <f t="shared" si="8"/>
        <v>0</v>
      </c>
      <c r="S53" s="65">
        <f t="shared" si="8"/>
        <v>0</v>
      </c>
      <c r="T53" s="69">
        <f t="shared" si="8"/>
        <v>0</v>
      </c>
      <c r="U53" s="69">
        <f t="shared" si="8"/>
        <v>0</v>
      </c>
      <c r="V53" s="65">
        <f t="shared" si="8"/>
        <v>0</v>
      </c>
      <c r="W53" s="65">
        <f t="shared" si="8"/>
        <v>0</v>
      </c>
      <c r="X53" s="65">
        <f t="shared" si="8"/>
        <v>0</v>
      </c>
      <c r="Y53" s="65">
        <f t="shared" si="8"/>
        <v>0</v>
      </c>
      <c r="Z53" s="65">
        <f t="shared" si="8"/>
        <v>0</v>
      </c>
      <c r="AA53" s="65">
        <f t="shared" si="8"/>
        <v>0</v>
      </c>
      <c r="AB53" s="65">
        <f t="shared" si="8"/>
        <v>0</v>
      </c>
      <c r="AC53" s="65">
        <f t="shared" si="8"/>
        <v>0</v>
      </c>
      <c r="AD53" s="65">
        <f t="shared" si="8"/>
        <v>0</v>
      </c>
      <c r="AF53" s="14" t="s">
        <v>224</v>
      </c>
      <c r="AG53" s="39">
        <f>+AG33-AG11</f>
        <v>0</v>
      </c>
    </row>
    <row r="54" spans="1:60" x14ac:dyDescent="0.2">
      <c r="A54" s="78"/>
      <c r="B54" s="79"/>
      <c r="C54" s="78"/>
      <c r="D54" s="78"/>
      <c r="E54" s="78"/>
      <c r="F54" s="78"/>
      <c r="G54" s="78"/>
      <c r="H54" s="80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0"/>
      <c r="U54" s="80"/>
      <c r="V54" s="81"/>
      <c r="W54" s="81"/>
      <c r="X54" s="81"/>
      <c r="Y54" s="81"/>
      <c r="Z54" s="81"/>
      <c r="AA54" s="81"/>
      <c r="AB54" s="81"/>
      <c r="AC54" s="81"/>
      <c r="AD54" s="81"/>
    </row>
    <row r="55" spans="1:60" ht="20.25" customHeight="1" x14ac:dyDescent="0.2">
      <c r="A55" s="71"/>
      <c r="B55" s="66">
        <f>+C56</f>
        <v>0</v>
      </c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2"/>
      <c r="W55" s="71"/>
      <c r="X55" s="71"/>
      <c r="Y55" s="71"/>
      <c r="Z55" s="71"/>
      <c r="AA55" s="71"/>
      <c r="AB55" s="71"/>
      <c r="AC55" s="71"/>
      <c r="AD55" s="71"/>
    </row>
    <row r="56" spans="1:60" x14ac:dyDescent="0.2">
      <c r="A56" s="73"/>
      <c r="B56" s="75"/>
      <c r="C56" s="74"/>
      <c r="D56" s="73"/>
      <c r="E56" s="73"/>
      <c r="F56" s="73"/>
      <c r="G56" s="73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3"/>
      <c r="Y56" s="73"/>
      <c r="Z56" s="73"/>
      <c r="AA56" s="77"/>
      <c r="AB56" s="77"/>
      <c r="AC56" s="77"/>
      <c r="AD56" s="77"/>
    </row>
    <row r="57" spans="1:60" ht="15" customHeight="1" x14ac:dyDescent="0.2">
      <c r="A57" s="73"/>
      <c r="B57" s="75"/>
      <c r="C57" s="74"/>
      <c r="D57" s="73"/>
      <c r="E57" s="73"/>
      <c r="F57" s="73"/>
      <c r="G57" s="73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3"/>
      <c r="Y57" s="73"/>
      <c r="Z57" s="73"/>
      <c r="AA57" s="77"/>
      <c r="AB57" s="77"/>
      <c r="AC57" s="77"/>
      <c r="AD57" s="77"/>
    </row>
    <row r="58" spans="1:60" ht="15" customHeight="1" x14ac:dyDescent="0.2">
      <c r="A58" s="73"/>
      <c r="B58" s="75"/>
      <c r="C58" s="74"/>
      <c r="D58" s="73"/>
      <c r="E58" s="73"/>
      <c r="F58" s="73"/>
      <c r="G58" s="73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3"/>
      <c r="Y58" s="73"/>
      <c r="Z58" s="73"/>
      <c r="AA58" s="77"/>
      <c r="AB58" s="77"/>
      <c r="AC58" s="77"/>
      <c r="AD58" s="77"/>
    </row>
    <row r="59" spans="1:60" ht="15" customHeight="1" x14ac:dyDescent="0.2">
      <c r="A59" s="73"/>
      <c r="B59" s="75"/>
      <c r="C59" s="74"/>
      <c r="D59" s="73"/>
      <c r="E59" s="73"/>
      <c r="F59" s="73"/>
      <c r="G59" s="73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3"/>
      <c r="Y59" s="73"/>
      <c r="Z59" s="73"/>
      <c r="AA59" s="77"/>
      <c r="AB59" s="77"/>
      <c r="AC59" s="77"/>
      <c r="AD59" s="77"/>
    </row>
    <row r="60" spans="1:60" ht="15" customHeight="1" x14ac:dyDescent="0.2">
      <c r="A60" s="73"/>
      <c r="B60" s="75"/>
      <c r="C60" s="74"/>
      <c r="D60" s="73"/>
      <c r="E60" s="73"/>
      <c r="F60" s="73"/>
      <c r="G60" s="73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3"/>
      <c r="Y60" s="73"/>
      <c r="Z60" s="73"/>
      <c r="AA60" s="77"/>
      <c r="AB60" s="77"/>
      <c r="AC60" s="77"/>
      <c r="AD60" s="77"/>
    </row>
    <row r="61" spans="1:60" ht="15" customHeight="1" x14ac:dyDescent="0.2">
      <c r="A61" s="73"/>
      <c r="B61" s="75"/>
      <c r="C61" s="74"/>
      <c r="D61" s="73"/>
      <c r="E61" s="73"/>
      <c r="F61" s="73"/>
      <c r="G61" s="73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3"/>
      <c r="Y61" s="73"/>
      <c r="Z61" s="73"/>
      <c r="AA61" s="77"/>
      <c r="AB61" s="77"/>
      <c r="AC61" s="77"/>
      <c r="AD61" s="77"/>
    </row>
    <row r="62" spans="1:60" ht="15" customHeight="1" x14ac:dyDescent="0.2">
      <c r="A62" s="73"/>
      <c r="B62" s="75"/>
      <c r="C62" s="74"/>
      <c r="D62" s="73"/>
      <c r="E62" s="73"/>
      <c r="F62" s="73"/>
      <c r="G62" s="73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3"/>
      <c r="Y62" s="73"/>
      <c r="Z62" s="73"/>
      <c r="AA62" s="77"/>
      <c r="AB62" s="77"/>
      <c r="AC62" s="77"/>
      <c r="AD62" s="77"/>
    </row>
    <row r="63" spans="1:60" ht="15" customHeight="1" x14ac:dyDescent="0.2">
      <c r="A63" s="73"/>
      <c r="B63" s="75"/>
      <c r="C63" s="74"/>
      <c r="D63" s="73"/>
      <c r="E63" s="73"/>
      <c r="F63" s="73"/>
      <c r="G63" s="73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3"/>
      <c r="Y63" s="73"/>
      <c r="Z63" s="73"/>
      <c r="AA63" s="77"/>
      <c r="AB63" s="77"/>
      <c r="AC63" s="77"/>
      <c r="AD63" s="77"/>
    </row>
    <row r="64" spans="1:60" ht="15" customHeight="1" x14ac:dyDescent="0.2">
      <c r="A64" s="73"/>
      <c r="B64" s="75"/>
      <c r="C64" s="74"/>
      <c r="D64" s="73"/>
      <c r="E64" s="73"/>
      <c r="F64" s="73"/>
      <c r="G64" s="73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3"/>
      <c r="Y64" s="73"/>
      <c r="Z64" s="73"/>
      <c r="AA64" s="77"/>
      <c r="AB64" s="77"/>
      <c r="AC64" s="77"/>
      <c r="AD64" s="77"/>
    </row>
    <row r="65" spans="1:30" ht="15" customHeight="1" x14ac:dyDescent="0.2">
      <c r="A65" s="73"/>
      <c r="B65" s="75"/>
      <c r="C65" s="74"/>
      <c r="D65" s="73"/>
      <c r="E65" s="73"/>
      <c r="F65" s="73"/>
      <c r="G65" s="73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3"/>
      <c r="Y65" s="73"/>
      <c r="Z65" s="73"/>
      <c r="AA65" s="77"/>
      <c r="AB65" s="77"/>
      <c r="AC65" s="77"/>
      <c r="AD65" s="77"/>
    </row>
    <row r="66" spans="1:30" ht="15" customHeight="1" x14ac:dyDescent="0.2">
      <c r="A66" s="73"/>
      <c r="B66" s="75"/>
      <c r="C66" s="74"/>
      <c r="D66" s="73"/>
      <c r="E66" s="73"/>
      <c r="F66" s="73"/>
      <c r="G66" s="73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3"/>
      <c r="Y66" s="73"/>
      <c r="Z66" s="73"/>
      <c r="AA66" s="77"/>
      <c r="AB66" s="77"/>
      <c r="AC66" s="77"/>
      <c r="AD66" s="77"/>
    </row>
    <row r="67" spans="1:30" ht="15" customHeight="1" x14ac:dyDescent="0.2">
      <c r="A67" s="73"/>
      <c r="B67" s="75"/>
      <c r="C67" s="74"/>
      <c r="D67" s="73"/>
      <c r="E67" s="73"/>
      <c r="F67" s="73"/>
      <c r="G67" s="73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3"/>
      <c r="Y67" s="73"/>
      <c r="Z67" s="73"/>
      <c r="AA67" s="77"/>
      <c r="AB67" s="77"/>
      <c r="AC67" s="77"/>
      <c r="AD67" s="77"/>
    </row>
    <row r="68" spans="1:30" ht="15" customHeight="1" x14ac:dyDescent="0.2">
      <c r="A68" s="73"/>
      <c r="B68" s="75"/>
      <c r="C68" s="74"/>
      <c r="D68" s="73"/>
      <c r="E68" s="73"/>
      <c r="F68" s="73"/>
      <c r="G68" s="73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3"/>
      <c r="Y68" s="73"/>
      <c r="Z68" s="73"/>
      <c r="AA68" s="77"/>
      <c r="AB68" s="77"/>
      <c r="AC68" s="77"/>
      <c r="AD68" s="77"/>
    </row>
    <row r="69" spans="1:30" ht="15" customHeight="1" x14ac:dyDescent="0.2">
      <c r="A69" s="73"/>
      <c r="B69" s="75"/>
      <c r="C69" s="74"/>
      <c r="D69" s="73"/>
      <c r="E69" s="73"/>
      <c r="F69" s="73"/>
      <c r="G69" s="73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3"/>
      <c r="Y69" s="73"/>
      <c r="Z69" s="73"/>
      <c r="AA69" s="77"/>
      <c r="AB69" s="77"/>
      <c r="AC69" s="77"/>
      <c r="AD69" s="77"/>
    </row>
    <row r="70" spans="1:30" ht="15" customHeight="1" x14ac:dyDescent="0.2">
      <c r="A70" s="73"/>
      <c r="B70" s="75"/>
      <c r="C70" s="74"/>
      <c r="D70" s="73"/>
      <c r="E70" s="73"/>
      <c r="F70" s="73"/>
      <c r="G70" s="73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3"/>
      <c r="Y70" s="73"/>
      <c r="Z70" s="73"/>
      <c r="AA70" s="77"/>
      <c r="AB70" s="77"/>
      <c r="AC70" s="77"/>
      <c r="AD70" s="77"/>
    </row>
    <row r="71" spans="1:30" ht="15" customHeight="1" x14ac:dyDescent="0.2">
      <c r="A71" s="73"/>
      <c r="B71" s="75"/>
      <c r="C71" s="74"/>
      <c r="D71" s="73"/>
      <c r="E71" s="73"/>
      <c r="F71" s="73"/>
      <c r="G71" s="73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3"/>
      <c r="Y71" s="73"/>
      <c r="Z71" s="73"/>
      <c r="AA71" s="77"/>
      <c r="AB71" s="77"/>
      <c r="AC71" s="77"/>
      <c r="AD71" s="77"/>
    </row>
    <row r="72" spans="1:30" ht="15" customHeight="1" x14ac:dyDescent="0.2">
      <c r="A72" s="73"/>
      <c r="B72" s="75"/>
      <c r="C72" s="74"/>
      <c r="D72" s="73"/>
      <c r="E72" s="73"/>
      <c r="F72" s="73"/>
      <c r="G72" s="73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3"/>
      <c r="Y72" s="73"/>
      <c r="Z72" s="73"/>
      <c r="AA72" s="77"/>
      <c r="AB72" s="77"/>
      <c r="AC72" s="77"/>
      <c r="AD72" s="77"/>
    </row>
    <row r="73" spans="1:30" ht="15" customHeight="1" x14ac:dyDescent="0.2">
      <c r="A73" s="73"/>
      <c r="B73" s="75"/>
      <c r="C73" s="74"/>
      <c r="D73" s="73"/>
      <c r="E73" s="73"/>
      <c r="F73" s="73"/>
      <c r="G73" s="73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3"/>
      <c r="Y73" s="73"/>
      <c r="Z73" s="73"/>
      <c r="AA73" s="77"/>
      <c r="AB73" s="77"/>
      <c r="AC73" s="77"/>
      <c r="AD73" s="77"/>
    </row>
    <row r="74" spans="1:30" ht="15" customHeight="1" x14ac:dyDescent="0.2">
      <c r="A74" s="73"/>
      <c r="B74" s="75"/>
      <c r="C74" s="74"/>
      <c r="D74" s="73"/>
      <c r="E74" s="73"/>
      <c r="F74" s="73"/>
      <c r="G74" s="73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3"/>
      <c r="Y74" s="73"/>
      <c r="Z74" s="73"/>
      <c r="AA74" s="77"/>
      <c r="AB74" s="77"/>
      <c r="AC74" s="77"/>
      <c r="AD74" s="77"/>
    </row>
    <row r="75" spans="1:30" ht="15" customHeight="1" x14ac:dyDescent="0.2">
      <c r="A75" s="73"/>
      <c r="B75" s="75"/>
      <c r="C75" s="74"/>
      <c r="D75" s="73"/>
      <c r="E75" s="73"/>
      <c r="F75" s="73"/>
      <c r="G75" s="73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3"/>
      <c r="Y75" s="73"/>
      <c r="Z75" s="73"/>
      <c r="AA75" s="77"/>
      <c r="AB75" s="77"/>
      <c r="AC75" s="77"/>
      <c r="AD75" s="77"/>
    </row>
    <row r="76" spans="1:30" ht="15" customHeight="1" x14ac:dyDescent="0.2">
      <c r="A76" s="73"/>
      <c r="B76" s="75"/>
      <c r="C76" s="74"/>
      <c r="D76" s="73"/>
      <c r="E76" s="73"/>
      <c r="F76" s="73"/>
      <c r="G76" s="73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3"/>
      <c r="Y76" s="73"/>
      <c r="Z76" s="73"/>
      <c r="AA76" s="77"/>
      <c r="AB76" s="77"/>
      <c r="AC76" s="77"/>
      <c r="AD76" s="77"/>
    </row>
    <row r="77" spans="1:30" ht="15" customHeight="1" x14ac:dyDescent="0.2">
      <c r="A77" s="73"/>
      <c r="B77" s="75"/>
      <c r="C77" s="74"/>
      <c r="D77" s="73"/>
      <c r="E77" s="73"/>
      <c r="F77" s="73"/>
      <c r="G77" s="73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3"/>
      <c r="Y77" s="73"/>
      <c r="Z77" s="73"/>
      <c r="AA77" s="77"/>
      <c r="AB77" s="77"/>
      <c r="AC77" s="77"/>
      <c r="AD77" s="77"/>
    </row>
    <row r="78" spans="1:30" ht="15" customHeight="1" x14ac:dyDescent="0.2">
      <c r="A78" s="73"/>
      <c r="B78" s="75"/>
      <c r="C78" s="74"/>
      <c r="D78" s="73"/>
      <c r="E78" s="73"/>
      <c r="F78" s="73"/>
      <c r="G78" s="73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3"/>
      <c r="Y78" s="73"/>
      <c r="Z78" s="73"/>
      <c r="AA78" s="77"/>
      <c r="AB78" s="77"/>
      <c r="AC78" s="77"/>
      <c r="AD78" s="77"/>
    </row>
    <row r="79" spans="1:30" x14ac:dyDescent="0.2">
      <c r="A79" s="78"/>
      <c r="B79" s="79"/>
      <c r="C79" s="78"/>
      <c r="D79" s="78"/>
      <c r="E79" s="78"/>
      <c r="F79" s="78"/>
      <c r="G79" s="78"/>
      <c r="H79" s="64"/>
      <c r="I79" s="65">
        <f>SUM(I56:I78)</f>
        <v>0</v>
      </c>
      <c r="J79" s="65">
        <f t="shared" ref="J79:AD79" si="9">SUM(J56:J78)</f>
        <v>0</v>
      </c>
      <c r="K79" s="65">
        <f t="shared" si="9"/>
        <v>0</v>
      </c>
      <c r="L79" s="65">
        <f t="shared" si="9"/>
        <v>0</v>
      </c>
      <c r="M79" s="65">
        <f t="shared" si="9"/>
        <v>0</v>
      </c>
      <c r="N79" s="65">
        <f t="shared" si="9"/>
        <v>0</v>
      </c>
      <c r="O79" s="65">
        <f t="shared" si="9"/>
        <v>0</v>
      </c>
      <c r="P79" s="65">
        <f t="shared" si="9"/>
        <v>0</v>
      </c>
      <c r="Q79" s="65">
        <f t="shared" si="9"/>
        <v>0</v>
      </c>
      <c r="R79" s="65">
        <f t="shared" si="9"/>
        <v>0</v>
      </c>
      <c r="S79" s="65">
        <f t="shared" si="9"/>
        <v>0</v>
      </c>
      <c r="T79" s="69">
        <f t="shared" si="9"/>
        <v>0</v>
      </c>
      <c r="U79" s="69">
        <f t="shared" si="9"/>
        <v>0</v>
      </c>
      <c r="V79" s="65">
        <f t="shared" si="9"/>
        <v>0</v>
      </c>
      <c r="W79" s="65">
        <f t="shared" si="9"/>
        <v>0</v>
      </c>
      <c r="X79" s="65">
        <f t="shared" si="9"/>
        <v>0</v>
      </c>
      <c r="Y79" s="65">
        <f t="shared" si="9"/>
        <v>0</v>
      </c>
      <c r="Z79" s="65">
        <f t="shared" si="9"/>
        <v>0</v>
      </c>
      <c r="AA79" s="65">
        <f t="shared" si="9"/>
        <v>0</v>
      </c>
      <c r="AB79" s="65">
        <f t="shared" si="9"/>
        <v>0</v>
      </c>
      <c r="AC79" s="65">
        <f t="shared" si="9"/>
        <v>0</v>
      </c>
      <c r="AD79" s="65">
        <f t="shared" si="9"/>
        <v>0</v>
      </c>
    </row>
    <row r="80" spans="1:30" x14ac:dyDescent="0.2">
      <c r="A80" s="78"/>
      <c r="B80" s="79"/>
      <c r="C80" s="78"/>
      <c r="D80" s="78"/>
      <c r="E80" s="78"/>
      <c r="F80" s="78"/>
      <c r="G80" s="78"/>
      <c r="H80" s="80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0"/>
      <c r="U80" s="80"/>
      <c r="V80" s="81"/>
      <c r="W80" s="81"/>
      <c r="X80" s="81"/>
      <c r="Y80" s="81"/>
      <c r="Z80" s="81"/>
      <c r="AA80" s="81"/>
      <c r="AB80" s="81"/>
      <c r="AC80" s="81"/>
      <c r="AD80" s="81"/>
    </row>
    <row r="81" spans="1:30" ht="21.75" customHeight="1" x14ac:dyDescent="0.2">
      <c r="A81" s="71"/>
      <c r="B81" s="66">
        <f>+C82</f>
        <v>0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2"/>
      <c r="W81" s="71"/>
      <c r="X81" s="71"/>
      <c r="Y81" s="71"/>
      <c r="Z81" s="71"/>
      <c r="AA81" s="71"/>
      <c r="AB81" s="71"/>
      <c r="AC81" s="71"/>
      <c r="AD81" s="71"/>
    </row>
    <row r="82" spans="1:30" x14ac:dyDescent="0.2">
      <c r="A82" s="73"/>
      <c r="B82" s="75"/>
      <c r="C82" s="74"/>
      <c r="D82" s="73"/>
      <c r="E82" s="73"/>
      <c r="F82" s="73"/>
      <c r="G82" s="73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3"/>
      <c r="Y82" s="73"/>
      <c r="Z82" s="73"/>
      <c r="AA82" s="77"/>
      <c r="AB82" s="77"/>
      <c r="AC82" s="77"/>
      <c r="AD82" s="77"/>
    </row>
    <row r="83" spans="1:30" ht="15" customHeight="1" x14ac:dyDescent="0.2">
      <c r="A83" s="73"/>
      <c r="B83" s="75"/>
      <c r="C83" s="74"/>
      <c r="D83" s="73"/>
      <c r="E83" s="73"/>
      <c r="F83" s="73"/>
      <c r="G83" s="73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3"/>
      <c r="Y83" s="73"/>
      <c r="Z83" s="73"/>
      <c r="AA83" s="77"/>
      <c r="AB83" s="77"/>
      <c r="AC83" s="77"/>
      <c r="AD83" s="77"/>
    </row>
    <row r="84" spans="1:30" ht="15" customHeight="1" x14ac:dyDescent="0.2">
      <c r="A84" s="73"/>
      <c r="B84" s="75"/>
      <c r="C84" s="74"/>
      <c r="D84" s="73"/>
      <c r="E84" s="73"/>
      <c r="F84" s="73"/>
      <c r="G84" s="73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3"/>
      <c r="Y84" s="73"/>
      <c r="Z84" s="73"/>
      <c r="AA84" s="77"/>
      <c r="AB84" s="77"/>
      <c r="AC84" s="77"/>
      <c r="AD84" s="77"/>
    </row>
    <row r="85" spans="1:30" ht="15" customHeight="1" x14ac:dyDescent="0.2">
      <c r="A85" s="73"/>
      <c r="B85" s="75"/>
      <c r="C85" s="74"/>
      <c r="D85" s="73"/>
      <c r="E85" s="73"/>
      <c r="F85" s="73"/>
      <c r="G85" s="73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3"/>
      <c r="Y85" s="73"/>
      <c r="Z85" s="73"/>
      <c r="AA85" s="77"/>
      <c r="AB85" s="77"/>
      <c r="AC85" s="77"/>
      <c r="AD85" s="77"/>
    </row>
    <row r="86" spans="1:30" ht="15" customHeight="1" x14ac:dyDescent="0.2">
      <c r="A86" s="73"/>
      <c r="B86" s="75"/>
      <c r="C86" s="74"/>
      <c r="D86" s="73"/>
      <c r="E86" s="73"/>
      <c r="F86" s="73"/>
      <c r="G86" s="73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3"/>
      <c r="Y86" s="73"/>
      <c r="Z86" s="73"/>
      <c r="AA86" s="77"/>
      <c r="AB86" s="77"/>
      <c r="AC86" s="77"/>
      <c r="AD86" s="77"/>
    </row>
    <row r="87" spans="1:30" ht="15" customHeight="1" x14ac:dyDescent="0.2">
      <c r="A87" s="73"/>
      <c r="B87" s="75"/>
      <c r="C87" s="74"/>
      <c r="D87" s="73"/>
      <c r="E87" s="73"/>
      <c r="F87" s="73"/>
      <c r="G87" s="73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3"/>
      <c r="Y87" s="73"/>
      <c r="Z87" s="73"/>
      <c r="AA87" s="77"/>
      <c r="AB87" s="77"/>
      <c r="AC87" s="77"/>
      <c r="AD87" s="77"/>
    </row>
    <row r="88" spans="1:30" ht="15" customHeight="1" x14ac:dyDescent="0.2">
      <c r="A88" s="73"/>
      <c r="B88" s="75"/>
      <c r="C88" s="74"/>
      <c r="D88" s="73"/>
      <c r="E88" s="73"/>
      <c r="F88" s="73"/>
      <c r="G88" s="73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3"/>
      <c r="Y88" s="73"/>
      <c r="Z88" s="73"/>
      <c r="AA88" s="77"/>
      <c r="AB88" s="77"/>
      <c r="AC88" s="77"/>
      <c r="AD88" s="77"/>
    </row>
    <row r="89" spans="1:30" ht="15" customHeight="1" x14ac:dyDescent="0.2">
      <c r="A89" s="73"/>
      <c r="B89" s="75"/>
      <c r="C89" s="74"/>
      <c r="D89" s="73"/>
      <c r="E89" s="73"/>
      <c r="F89" s="73"/>
      <c r="G89" s="73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3"/>
      <c r="Y89" s="73"/>
      <c r="Z89" s="73"/>
      <c r="AA89" s="77"/>
      <c r="AB89" s="77"/>
      <c r="AC89" s="77"/>
      <c r="AD89" s="77"/>
    </row>
    <row r="90" spans="1:30" ht="15" customHeight="1" x14ac:dyDescent="0.2">
      <c r="A90" s="73"/>
      <c r="B90" s="75"/>
      <c r="C90" s="74"/>
      <c r="D90" s="73"/>
      <c r="E90" s="73"/>
      <c r="F90" s="73"/>
      <c r="G90" s="73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3"/>
      <c r="Y90" s="73"/>
      <c r="Z90" s="73"/>
      <c r="AA90" s="77"/>
      <c r="AB90" s="77"/>
      <c r="AC90" s="77"/>
      <c r="AD90" s="77"/>
    </row>
    <row r="91" spans="1:30" ht="15" customHeight="1" x14ac:dyDescent="0.2">
      <c r="A91" s="73"/>
      <c r="B91" s="75"/>
      <c r="C91" s="74"/>
      <c r="D91" s="73"/>
      <c r="E91" s="73"/>
      <c r="F91" s="73"/>
      <c r="G91" s="73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3"/>
      <c r="Y91" s="73"/>
      <c r="Z91" s="73"/>
      <c r="AA91" s="77"/>
      <c r="AB91" s="77"/>
      <c r="AC91" s="77"/>
      <c r="AD91" s="77"/>
    </row>
    <row r="92" spans="1:30" ht="15" customHeight="1" x14ac:dyDescent="0.2">
      <c r="A92" s="73"/>
      <c r="B92" s="75"/>
      <c r="C92" s="74"/>
      <c r="D92" s="73"/>
      <c r="E92" s="73"/>
      <c r="F92" s="73"/>
      <c r="G92" s="73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3"/>
      <c r="Y92" s="73"/>
      <c r="Z92" s="73"/>
      <c r="AA92" s="77"/>
      <c r="AB92" s="77"/>
      <c r="AC92" s="77"/>
      <c r="AD92" s="77"/>
    </row>
    <row r="93" spans="1:30" ht="15" customHeight="1" x14ac:dyDescent="0.2">
      <c r="A93" s="73"/>
      <c r="B93" s="75"/>
      <c r="C93" s="74"/>
      <c r="D93" s="73"/>
      <c r="E93" s="73"/>
      <c r="F93" s="73"/>
      <c r="G93" s="73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3"/>
      <c r="Y93" s="73"/>
      <c r="Z93" s="73"/>
      <c r="AA93" s="77"/>
      <c r="AB93" s="77"/>
      <c r="AC93" s="77"/>
      <c r="AD93" s="77"/>
    </row>
    <row r="94" spans="1:30" ht="15" customHeight="1" x14ac:dyDescent="0.2">
      <c r="A94" s="73"/>
      <c r="B94" s="75"/>
      <c r="C94" s="74"/>
      <c r="D94" s="73"/>
      <c r="E94" s="73"/>
      <c r="F94" s="73"/>
      <c r="G94" s="73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3"/>
      <c r="Y94" s="73"/>
      <c r="Z94" s="73"/>
      <c r="AA94" s="77"/>
      <c r="AB94" s="77"/>
      <c r="AC94" s="77"/>
      <c r="AD94" s="77"/>
    </row>
    <row r="95" spans="1:30" x14ac:dyDescent="0.2">
      <c r="A95" s="78"/>
      <c r="B95" s="79"/>
      <c r="C95" s="78"/>
      <c r="D95" s="78"/>
      <c r="E95" s="78"/>
      <c r="F95" s="78"/>
      <c r="G95" s="78"/>
      <c r="H95" s="64"/>
      <c r="I95" s="65">
        <f>SUM(I82:I94)</f>
        <v>0</v>
      </c>
      <c r="J95" s="65">
        <f t="shared" ref="J95:AD95" si="10">SUM(J82:J94)</f>
        <v>0</v>
      </c>
      <c r="K95" s="65">
        <f t="shared" si="10"/>
        <v>0</v>
      </c>
      <c r="L95" s="65">
        <f t="shared" si="10"/>
        <v>0</v>
      </c>
      <c r="M95" s="65">
        <f t="shared" si="10"/>
        <v>0</v>
      </c>
      <c r="N95" s="65">
        <f t="shared" si="10"/>
        <v>0</v>
      </c>
      <c r="O95" s="65">
        <f t="shared" si="10"/>
        <v>0</v>
      </c>
      <c r="P95" s="65">
        <f t="shared" si="10"/>
        <v>0</v>
      </c>
      <c r="Q95" s="65">
        <f t="shared" si="10"/>
        <v>0</v>
      </c>
      <c r="R95" s="65">
        <f t="shared" si="10"/>
        <v>0</v>
      </c>
      <c r="S95" s="65">
        <f t="shared" si="10"/>
        <v>0</v>
      </c>
      <c r="T95" s="69">
        <f t="shared" si="10"/>
        <v>0</v>
      </c>
      <c r="U95" s="69">
        <f t="shared" si="10"/>
        <v>0</v>
      </c>
      <c r="V95" s="65">
        <f t="shared" si="10"/>
        <v>0</v>
      </c>
      <c r="W95" s="65">
        <f t="shared" si="10"/>
        <v>0</v>
      </c>
      <c r="X95" s="65">
        <f t="shared" si="10"/>
        <v>0</v>
      </c>
      <c r="Y95" s="65">
        <f t="shared" si="10"/>
        <v>0</v>
      </c>
      <c r="Z95" s="65">
        <f t="shared" si="10"/>
        <v>0</v>
      </c>
      <c r="AA95" s="65">
        <f t="shared" si="10"/>
        <v>0</v>
      </c>
      <c r="AB95" s="65">
        <f t="shared" si="10"/>
        <v>0</v>
      </c>
      <c r="AC95" s="65">
        <f t="shared" si="10"/>
        <v>0</v>
      </c>
      <c r="AD95" s="65">
        <f t="shared" si="10"/>
        <v>0</v>
      </c>
    </row>
    <row r="96" spans="1:30" x14ac:dyDescent="0.2">
      <c r="A96" s="78"/>
      <c r="B96" s="79"/>
      <c r="C96" s="78"/>
      <c r="D96" s="78"/>
      <c r="E96" s="78"/>
      <c r="F96" s="78"/>
      <c r="G96" s="78"/>
      <c r="H96" s="80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0"/>
      <c r="U96" s="80"/>
      <c r="V96" s="81"/>
      <c r="W96" s="81"/>
      <c r="X96" s="81"/>
      <c r="Y96" s="81"/>
      <c r="Z96" s="81"/>
      <c r="AA96" s="81"/>
      <c r="AB96" s="81"/>
      <c r="AC96" s="81"/>
      <c r="AD96" s="81"/>
    </row>
    <row r="97" spans="1:30" ht="21.75" customHeight="1" x14ac:dyDescent="0.2">
      <c r="A97" s="71"/>
      <c r="B97" s="66">
        <f>+C98</f>
        <v>0</v>
      </c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2"/>
      <c r="W97" s="71"/>
      <c r="X97" s="71"/>
      <c r="Y97" s="71"/>
      <c r="Z97" s="71"/>
      <c r="AA97" s="71"/>
      <c r="AB97" s="71"/>
      <c r="AC97" s="71"/>
      <c r="AD97" s="71"/>
    </row>
    <row r="98" spans="1:30" x14ac:dyDescent="0.2">
      <c r="A98" s="73"/>
      <c r="B98" s="75"/>
      <c r="C98" s="74"/>
      <c r="D98" s="73"/>
      <c r="E98" s="73"/>
      <c r="F98" s="73"/>
      <c r="G98" s="73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3"/>
      <c r="Y98" s="73"/>
      <c r="Z98" s="73"/>
      <c r="AA98" s="77"/>
      <c r="AB98" s="77"/>
      <c r="AC98" s="77"/>
      <c r="AD98" s="77"/>
    </row>
    <row r="99" spans="1:30" ht="15" customHeight="1" x14ac:dyDescent="0.2">
      <c r="A99" s="73"/>
      <c r="B99" s="75"/>
      <c r="C99" s="74"/>
      <c r="D99" s="73"/>
      <c r="E99" s="73"/>
      <c r="F99" s="73"/>
      <c r="G99" s="73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3"/>
      <c r="Y99" s="73"/>
      <c r="Z99" s="73"/>
      <c r="AA99" s="77"/>
      <c r="AB99" s="77"/>
      <c r="AC99" s="77"/>
      <c r="AD99" s="77"/>
    </row>
    <row r="100" spans="1:30" ht="15" customHeight="1" x14ac:dyDescent="0.2">
      <c r="A100" s="73"/>
      <c r="B100" s="75"/>
      <c r="C100" s="74"/>
      <c r="D100" s="73"/>
      <c r="E100" s="73"/>
      <c r="F100" s="73"/>
      <c r="G100" s="73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3"/>
      <c r="Y100" s="73"/>
      <c r="Z100" s="73"/>
      <c r="AA100" s="77"/>
      <c r="AB100" s="77"/>
      <c r="AC100" s="77"/>
      <c r="AD100" s="77"/>
    </row>
    <row r="101" spans="1:30" ht="15" customHeight="1" x14ac:dyDescent="0.2">
      <c r="A101" s="73"/>
      <c r="B101" s="75"/>
      <c r="C101" s="74"/>
      <c r="D101" s="73"/>
      <c r="E101" s="73"/>
      <c r="F101" s="73"/>
      <c r="G101" s="73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3"/>
      <c r="Y101" s="73"/>
      <c r="Z101" s="73"/>
      <c r="AA101" s="77"/>
      <c r="AB101" s="77"/>
      <c r="AC101" s="77"/>
      <c r="AD101" s="77"/>
    </row>
    <row r="102" spans="1:30" ht="15" customHeight="1" x14ac:dyDescent="0.2">
      <c r="A102" s="73"/>
      <c r="B102" s="75"/>
      <c r="C102" s="74"/>
      <c r="D102" s="73"/>
      <c r="E102" s="73"/>
      <c r="F102" s="73"/>
      <c r="G102" s="73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3"/>
      <c r="Y102" s="73"/>
      <c r="Z102" s="73"/>
      <c r="AA102" s="77"/>
      <c r="AB102" s="77"/>
      <c r="AC102" s="77"/>
      <c r="AD102" s="77"/>
    </row>
    <row r="103" spans="1:30" ht="15" customHeight="1" x14ac:dyDescent="0.2">
      <c r="A103" s="73"/>
      <c r="B103" s="75"/>
      <c r="C103" s="74"/>
      <c r="D103" s="73"/>
      <c r="E103" s="73"/>
      <c r="F103" s="73"/>
      <c r="G103" s="73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3"/>
      <c r="Y103" s="73"/>
      <c r="Z103" s="73"/>
      <c r="AA103" s="77"/>
      <c r="AB103" s="77"/>
      <c r="AC103" s="77"/>
      <c r="AD103" s="77"/>
    </row>
    <row r="104" spans="1:30" ht="15" customHeight="1" x14ac:dyDescent="0.2">
      <c r="A104" s="73"/>
      <c r="B104" s="75"/>
      <c r="C104" s="74"/>
      <c r="D104" s="73"/>
      <c r="E104" s="73"/>
      <c r="F104" s="73"/>
      <c r="G104" s="73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3"/>
      <c r="Y104" s="73"/>
      <c r="Z104" s="73"/>
      <c r="AA104" s="77"/>
      <c r="AB104" s="77"/>
      <c r="AC104" s="77"/>
      <c r="AD104" s="77"/>
    </row>
    <row r="105" spans="1:30" ht="15" customHeight="1" x14ac:dyDescent="0.2">
      <c r="A105" s="73"/>
      <c r="B105" s="75"/>
      <c r="C105" s="74"/>
      <c r="D105" s="73"/>
      <c r="E105" s="73"/>
      <c r="F105" s="73"/>
      <c r="G105" s="73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3"/>
      <c r="Y105" s="73"/>
      <c r="Z105" s="73"/>
      <c r="AA105" s="77"/>
      <c r="AB105" s="77"/>
      <c r="AC105" s="77"/>
      <c r="AD105" s="77"/>
    </row>
    <row r="106" spans="1:30" ht="15" customHeight="1" x14ac:dyDescent="0.2">
      <c r="A106" s="73"/>
      <c r="B106" s="75"/>
      <c r="C106" s="74"/>
      <c r="D106" s="73"/>
      <c r="E106" s="73"/>
      <c r="F106" s="73"/>
      <c r="G106" s="73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3"/>
      <c r="Y106" s="73"/>
      <c r="Z106" s="73"/>
      <c r="AA106" s="77"/>
      <c r="AB106" s="77"/>
      <c r="AC106" s="77"/>
      <c r="AD106" s="77"/>
    </row>
    <row r="107" spans="1:30" ht="15" customHeight="1" x14ac:dyDescent="0.2">
      <c r="A107" s="73"/>
      <c r="B107" s="75"/>
      <c r="C107" s="74"/>
      <c r="D107" s="73"/>
      <c r="E107" s="73"/>
      <c r="F107" s="73"/>
      <c r="G107" s="73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3"/>
      <c r="Y107" s="73"/>
      <c r="Z107" s="73"/>
      <c r="AA107" s="77"/>
      <c r="AB107" s="77"/>
      <c r="AC107" s="77"/>
      <c r="AD107" s="77"/>
    </row>
    <row r="108" spans="1:30" ht="15" customHeight="1" x14ac:dyDescent="0.2">
      <c r="A108" s="73"/>
      <c r="B108" s="75"/>
      <c r="C108" s="74"/>
      <c r="D108" s="73"/>
      <c r="E108" s="73"/>
      <c r="F108" s="73"/>
      <c r="G108" s="73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3"/>
      <c r="Y108" s="73"/>
      <c r="Z108" s="73"/>
      <c r="AA108" s="77"/>
      <c r="AB108" s="77"/>
      <c r="AC108" s="77"/>
      <c r="AD108" s="77"/>
    </row>
    <row r="109" spans="1:30" ht="15" customHeight="1" x14ac:dyDescent="0.2">
      <c r="A109" s="73"/>
      <c r="B109" s="75"/>
      <c r="C109" s="74"/>
      <c r="D109" s="73"/>
      <c r="E109" s="73"/>
      <c r="F109" s="73"/>
      <c r="G109" s="73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3"/>
      <c r="Y109" s="73"/>
      <c r="Z109" s="73"/>
      <c r="AA109" s="77"/>
      <c r="AB109" s="77"/>
      <c r="AC109" s="77"/>
      <c r="AD109" s="77"/>
    </row>
    <row r="110" spans="1:30" ht="15" customHeight="1" x14ac:dyDescent="0.2">
      <c r="A110" s="73"/>
      <c r="B110" s="75"/>
      <c r="C110" s="74"/>
      <c r="D110" s="73"/>
      <c r="E110" s="73"/>
      <c r="F110" s="73"/>
      <c r="G110" s="73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3"/>
      <c r="Y110" s="73"/>
      <c r="Z110" s="73"/>
      <c r="AA110" s="77"/>
      <c r="AB110" s="77"/>
      <c r="AC110" s="77"/>
      <c r="AD110" s="77"/>
    </row>
    <row r="111" spans="1:30" ht="15" customHeight="1" x14ac:dyDescent="0.2">
      <c r="A111" s="73"/>
      <c r="B111" s="75"/>
      <c r="C111" s="74"/>
      <c r="D111" s="73"/>
      <c r="E111" s="73"/>
      <c r="F111" s="73"/>
      <c r="G111" s="73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3"/>
      <c r="Y111" s="73"/>
      <c r="Z111" s="73"/>
      <c r="AA111" s="77"/>
      <c r="AB111" s="77"/>
      <c r="AC111" s="77"/>
      <c r="AD111" s="77"/>
    </row>
    <row r="112" spans="1:30" ht="15" customHeight="1" x14ac:dyDescent="0.2">
      <c r="A112" s="73"/>
      <c r="B112" s="75"/>
      <c r="C112" s="74"/>
      <c r="D112" s="73"/>
      <c r="E112" s="73"/>
      <c r="F112" s="73"/>
      <c r="G112" s="73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3"/>
      <c r="Y112" s="73"/>
      <c r="Z112" s="73"/>
      <c r="AA112" s="77"/>
      <c r="AB112" s="77"/>
      <c r="AC112" s="77"/>
      <c r="AD112" s="77"/>
    </row>
    <row r="113" spans="1:30" ht="15" customHeight="1" x14ac:dyDescent="0.2">
      <c r="A113" s="73"/>
      <c r="B113" s="75"/>
      <c r="C113" s="74"/>
      <c r="D113" s="73"/>
      <c r="E113" s="73"/>
      <c r="F113" s="73"/>
      <c r="G113" s="73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3"/>
      <c r="Y113" s="73"/>
      <c r="Z113" s="73"/>
      <c r="AA113" s="77"/>
      <c r="AB113" s="77"/>
      <c r="AC113" s="77"/>
      <c r="AD113" s="77"/>
    </row>
    <row r="114" spans="1:30" ht="15" customHeight="1" x14ac:dyDescent="0.2">
      <c r="A114" s="73"/>
      <c r="B114" s="75"/>
      <c r="C114" s="74"/>
      <c r="D114" s="73"/>
      <c r="E114" s="73"/>
      <c r="F114" s="73"/>
      <c r="G114" s="73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3"/>
      <c r="Y114" s="73"/>
      <c r="Z114" s="73"/>
      <c r="AA114" s="77"/>
      <c r="AB114" s="77"/>
      <c r="AC114" s="77"/>
      <c r="AD114" s="77"/>
    </row>
    <row r="115" spans="1:30" ht="15" customHeight="1" x14ac:dyDescent="0.2">
      <c r="A115" s="73"/>
      <c r="B115" s="75"/>
      <c r="C115" s="74"/>
      <c r="D115" s="73"/>
      <c r="E115" s="73"/>
      <c r="F115" s="73"/>
      <c r="G115" s="73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3"/>
      <c r="Y115" s="73"/>
      <c r="Z115" s="73"/>
      <c r="AA115" s="77"/>
      <c r="AB115" s="77"/>
      <c r="AC115" s="77"/>
      <c r="AD115" s="77"/>
    </row>
    <row r="116" spans="1:30" ht="15" customHeight="1" x14ac:dyDescent="0.2">
      <c r="A116" s="73"/>
      <c r="B116" s="75"/>
      <c r="C116" s="74"/>
      <c r="D116" s="73"/>
      <c r="E116" s="73"/>
      <c r="F116" s="73"/>
      <c r="G116" s="73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3"/>
      <c r="Y116" s="73"/>
      <c r="Z116" s="73"/>
      <c r="AA116" s="77"/>
      <c r="AB116" s="77"/>
      <c r="AC116" s="77"/>
      <c r="AD116" s="77"/>
    </row>
    <row r="117" spans="1:30" ht="15" customHeight="1" x14ac:dyDescent="0.2">
      <c r="A117" s="73"/>
      <c r="B117" s="75"/>
      <c r="C117" s="74"/>
      <c r="D117" s="73"/>
      <c r="E117" s="73"/>
      <c r="F117" s="73"/>
      <c r="G117" s="73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3"/>
      <c r="Y117" s="73"/>
      <c r="Z117" s="73"/>
      <c r="AA117" s="77"/>
      <c r="AB117" s="77"/>
      <c r="AC117" s="77"/>
      <c r="AD117" s="77"/>
    </row>
    <row r="118" spans="1:30" ht="15" customHeight="1" x14ac:dyDescent="0.2">
      <c r="A118" s="73"/>
      <c r="B118" s="75"/>
      <c r="C118" s="74"/>
      <c r="D118" s="73"/>
      <c r="E118" s="73"/>
      <c r="F118" s="73"/>
      <c r="G118" s="73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3"/>
      <c r="Y118" s="73"/>
      <c r="Z118" s="73"/>
      <c r="AA118" s="77"/>
      <c r="AB118" s="77"/>
      <c r="AC118" s="77"/>
      <c r="AD118" s="77"/>
    </row>
    <row r="119" spans="1:30" ht="15" customHeight="1" x14ac:dyDescent="0.2">
      <c r="A119" s="73"/>
      <c r="B119" s="75"/>
      <c r="C119" s="74"/>
      <c r="D119" s="73"/>
      <c r="E119" s="73"/>
      <c r="F119" s="73"/>
      <c r="G119" s="73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3"/>
      <c r="Y119" s="73"/>
      <c r="Z119" s="73"/>
      <c r="AA119" s="77"/>
      <c r="AB119" s="77"/>
      <c r="AC119" s="77"/>
      <c r="AD119" s="77"/>
    </row>
    <row r="120" spans="1:30" ht="15" customHeight="1" x14ac:dyDescent="0.2">
      <c r="A120" s="73"/>
      <c r="B120" s="75"/>
      <c r="C120" s="74"/>
      <c r="D120" s="73"/>
      <c r="E120" s="73"/>
      <c r="F120" s="73"/>
      <c r="G120" s="73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3"/>
      <c r="Y120" s="73"/>
      <c r="Z120" s="73"/>
      <c r="AA120" s="77"/>
      <c r="AB120" s="77"/>
      <c r="AC120" s="77"/>
      <c r="AD120" s="77"/>
    </row>
    <row r="121" spans="1:30" ht="15" customHeight="1" x14ac:dyDescent="0.2">
      <c r="A121" s="73"/>
      <c r="B121" s="75"/>
      <c r="C121" s="74"/>
      <c r="D121" s="73"/>
      <c r="E121" s="73"/>
      <c r="F121" s="73"/>
      <c r="G121" s="73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3"/>
      <c r="Y121" s="73"/>
      <c r="Z121" s="73"/>
      <c r="AA121" s="77"/>
      <c r="AB121" s="77"/>
      <c r="AC121" s="77"/>
      <c r="AD121" s="77"/>
    </row>
    <row r="122" spans="1:30" ht="15" customHeight="1" x14ac:dyDescent="0.2">
      <c r="A122" s="73"/>
      <c r="B122" s="75"/>
      <c r="C122" s="74"/>
      <c r="D122" s="73"/>
      <c r="E122" s="73"/>
      <c r="F122" s="73"/>
      <c r="G122" s="73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3"/>
      <c r="Y122" s="73"/>
      <c r="Z122" s="73"/>
      <c r="AA122" s="77"/>
      <c r="AB122" s="77"/>
      <c r="AC122" s="77"/>
      <c r="AD122" s="77"/>
    </row>
    <row r="123" spans="1:30" ht="15" customHeight="1" x14ac:dyDescent="0.2">
      <c r="A123" s="73"/>
      <c r="B123" s="75"/>
      <c r="C123" s="74"/>
      <c r="D123" s="73"/>
      <c r="E123" s="73"/>
      <c r="F123" s="73"/>
      <c r="G123" s="73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3"/>
      <c r="Y123" s="73"/>
      <c r="Z123" s="73"/>
      <c r="AA123" s="77"/>
      <c r="AB123" s="77"/>
      <c r="AC123" s="77"/>
      <c r="AD123" s="77"/>
    </row>
    <row r="124" spans="1:30" ht="15" customHeight="1" x14ac:dyDescent="0.2">
      <c r="A124" s="73"/>
      <c r="B124" s="75"/>
      <c r="C124" s="74"/>
      <c r="D124" s="73"/>
      <c r="E124" s="73"/>
      <c r="F124" s="73"/>
      <c r="G124" s="73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3"/>
      <c r="Y124" s="73"/>
      <c r="Z124" s="73"/>
      <c r="AA124" s="77"/>
      <c r="AB124" s="77"/>
      <c r="AC124" s="77"/>
      <c r="AD124" s="77"/>
    </row>
    <row r="125" spans="1:30" ht="15" customHeight="1" x14ac:dyDescent="0.2">
      <c r="A125" s="73"/>
      <c r="B125" s="75"/>
      <c r="C125" s="74"/>
      <c r="D125" s="73"/>
      <c r="E125" s="73"/>
      <c r="F125" s="73"/>
      <c r="G125" s="73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3"/>
      <c r="Y125" s="73"/>
      <c r="Z125" s="73"/>
      <c r="AA125" s="77"/>
      <c r="AB125" s="77"/>
      <c r="AC125" s="77"/>
      <c r="AD125" s="77"/>
    </row>
    <row r="126" spans="1:30" ht="15" customHeight="1" x14ac:dyDescent="0.2">
      <c r="A126" s="73"/>
      <c r="B126" s="75"/>
      <c r="C126" s="74"/>
      <c r="D126" s="73"/>
      <c r="E126" s="73"/>
      <c r="F126" s="73"/>
      <c r="G126" s="73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3"/>
      <c r="Y126" s="73"/>
      <c r="Z126" s="73"/>
      <c r="AA126" s="77"/>
      <c r="AB126" s="77"/>
      <c r="AC126" s="77"/>
      <c r="AD126" s="77"/>
    </row>
    <row r="127" spans="1:30" ht="15" customHeight="1" x14ac:dyDescent="0.2">
      <c r="A127" s="73"/>
      <c r="B127" s="75"/>
      <c r="C127" s="74"/>
      <c r="D127" s="73"/>
      <c r="E127" s="73"/>
      <c r="F127" s="73"/>
      <c r="G127" s="73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3"/>
      <c r="Y127" s="73"/>
      <c r="Z127" s="73"/>
      <c r="AA127" s="77"/>
      <c r="AB127" s="77"/>
      <c r="AC127" s="77"/>
      <c r="AD127" s="77"/>
    </row>
    <row r="128" spans="1:30" ht="15" customHeight="1" x14ac:dyDescent="0.2">
      <c r="A128" s="73"/>
      <c r="B128" s="75"/>
      <c r="C128" s="74"/>
      <c r="D128" s="73"/>
      <c r="E128" s="73"/>
      <c r="F128" s="73"/>
      <c r="G128" s="73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3"/>
      <c r="Y128" s="73"/>
      <c r="Z128" s="73"/>
      <c r="AA128" s="77"/>
      <c r="AB128" s="77"/>
      <c r="AC128" s="77"/>
      <c r="AD128" s="77"/>
    </row>
    <row r="129" spans="1:60" ht="15" customHeight="1" x14ac:dyDescent="0.2">
      <c r="A129" s="73"/>
      <c r="B129" s="75"/>
      <c r="C129" s="74"/>
      <c r="D129" s="73"/>
      <c r="E129" s="73"/>
      <c r="F129" s="73"/>
      <c r="G129" s="73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3"/>
      <c r="Y129" s="73"/>
      <c r="Z129" s="73"/>
      <c r="AA129" s="77"/>
      <c r="AB129" s="77"/>
      <c r="AC129" s="77"/>
      <c r="AD129" s="77"/>
      <c r="AG129" s="62"/>
      <c r="AJ129" s="62"/>
      <c r="AM129" s="62"/>
      <c r="AS129" s="62"/>
      <c r="AV129" s="62"/>
      <c r="AY129" s="62"/>
      <c r="BB129" s="62"/>
      <c r="BH129" s="62"/>
    </row>
    <row r="130" spans="1:60" ht="15" customHeight="1" x14ac:dyDescent="0.2">
      <c r="A130" s="73"/>
      <c r="B130" s="75"/>
      <c r="C130" s="74"/>
      <c r="D130" s="73"/>
      <c r="E130" s="73"/>
      <c r="F130" s="73"/>
      <c r="G130" s="73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3"/>
      <c r="Y130" s="73"/>
      <c r="Z130" s="73"/>
      <c r="AA130" s="77"/>
      <c r="AB130" s="77"/>
      <c r="AC130" s="77"/>
      <c r="AD130" s="77"/>
    </row>
    <row r="131" spans="1:60" ht="15" customHeight="1" x14ac:dyDescent="0.2">
      <c r="A131" s="73"/>
      <c r="B131" s="75"/>
      <c r="C131" s="74"/>
      <c r="D131" s="73"/>
      <c r="E131" s="73"/>
      <c r="F131" s="73"/>
      <c r="G131" s="73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3"/>
      <c r="Y131" s="73"/>
      <c r="Z131" s="73"/>
      <c r="AA131" s="77"/>
      <c r="AB131" s="77"/>
      <c r="AC131" s="77"/>
      <c r="AD131" s="77"/>
      <c r="AG131" s="39"/>
      <c r="AJ131" s="39"/>
      <c r="AM131" s="39"/>
      <c r="AS131" s="39"/>
      <c r="AV131" s="39"/>
      <c r="AY131" s="39"/>
      <c r="BB131" s="39"/>
      <c r="BH131" s="39"/>
    </row>
    <row r="132" spans="1:60" ht="15" customHeight="1" x14ac:dyDescent="0.2">
      <c r="A132" s="73"/>
      <c r="B132" s="75"/>
      <c r="C132" s="74"/>
      <c r="D132" s="73"/>
      <c r="E132" s="73"/>
      <c r="F132" s="73"/>
      <c r="G132" s="73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3"/>
      <c r="Y132" s="73"/>
      <c r="Z132" s="73"/>
      <c r="AA132" s="77"/>
      <c r="AB132" s="77"/>
      <c r="AC132" s="77"/>
      <c r="AD132" s="77"/>
    </row>
    <row r="133" spans="1:60" ht="15" customHeight="1" x14ac:dyDescent="0.2">
      <c r="A133" s="73"/>
      <c r="B133" s="75"/>
      <c r="C133" s="74"/>
      <c r="D133" s="73"/>
      <c r="E133" s="73"/>
      <c r="F133" s="73"/>
      <c r="G133" s="73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3"/>
      <c r="Y133" s="73"/>
      <c r="Z133" s="73"/>
      <c r="AA133" s="77"/>
      <c r="AB133" s="77"/>
      <c r="AC133" s="77"/>
      <c r="AD133" s="77"/>
    </row>
    <row r="134" spans="1:60" ht="15" customHeight="1" x14ac:dyDescent="0.2">
      <c r="A134" s="73"/>
      <c r="B134" s="75"/>
      <c r="C134" s="74"/>
      <c r="D134" s="73"/>
      <c r="E134" s="73"/>
      <c r="F134" s="73"/>
      <c r="G134" s="73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3"/>
      <c r="Y134" s="73"/>
      <c r="Z134" s="73"/>
      <c r="AA134" s="77"/>
      <c r="AB134" s="77"/>
      <c r="AC134" s="77"/>
      <c r="AD134" s="77"/>
    </row>
    <row r="135" spans="1:60" ht="15" customHeight="1" x14ac:dyDescent="0.2">
      <c r="A135" s="73"/>
      <c r="B135" s="75"/>
      <c r="C135" s="74"/>
      <c r="D135" s="73"/>
      <c r="E135" s="73"/>
      <c r="F135" s="73"/>
      <c r="G135" s="73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3"/>
      <c r="Y135" s="73"/>
      <c r="Z135" s="73"/>
      <c r="AA135" s="77"/>
      <c r="AB135" s="77"/>
      <c r="AC135" s="77"/>
      <c r="AD135" s="77"/>
    </row>
    <row r="136" spans="1:60" x14ac:dyDescent="0.2">
      <c r="A136" s="78"/>
      <c r="B136" s="79"/>
      <c r="C136" s="78"/>
      <c r="D136" s="78"/>
      <c r="E136" s="78"/>
      <c r="F136" s="78"/>
      <c r="G136" s="78"/>
      <c r="H136" s="64"/>
      <c r="I136" s="65">
        <f>SUM(I98:I135)</f>
        <v>0</v>
      </c>
      <c r="J136" s="65">
        <f t="shared" ref="J136:AD136" si="11">SUM(J98:J135)</f>
        <v>0</v>
      </c>
      <c r="K136" s="65">
        <f t="shared" si="11"/>
        <v>0</v>
      </c>
      <c r="L136" s="65">
        <f t="shared" si="11"/>
        <v>0</v>
      </c>
      <c r="M136" s="65">
        <f t="shared" si="11"/>
        <v>0</v>
      </c>
      <c r="N136" s="65">
        <f t="shared" si="11"/>
        <v>0</v>
      </c>
      <c r="O136" s="65">
        <f t="shared" si="11"/>
        <v>0</v>
      </c>
      <c r="P136" s="65">
        <f t="shared" si="11"/>
        <v>0</v>
      </c>
      <c r="Q136" s="65">
        <f t="shared" si="11"/>
        <v>0</v>
      </c>
      <c r="R136" s="65">
        <f t="shared" si="11"/>
        <v>0</v>
      </c>
      <c r="S136" s="65">
        <f t="shared" si="11"/>
        <v>0</v>
      </c>
      <c r="T136" s="69">
        <f t="shared" si="11"/>
        <v>0</v>
      </c>
      <c r="U136" s="69">
        <f t="shared" si="11"/>
        <v>0</v>
      </c>
      <c r="V136" s="65">
        <f t="shared" si="11"/>
        <v>0</v>
      </c>
      <c r="W136" s="65">
        <f t="shared" si="11"/>
        <v>0</v>
      </c>
      <c r="X136" s="65">
        <f t="shared" si="11"/>
        <v>0</v>
      </c>
      <c r="Y136" s="65">
        <f t="shared" si="11"/>
        <v>0</v>
      </c>
      <c r="Z136" s="65">
        <f t="shared" si="11"/>
        <v>0</v>
      </c>
      <c r="AA136" s="65">
        <f t="shared" si="11"/>
        <v>0</v>
      </c>
      <c r="AB136" s="65">
        <f t="shared" si="11"/>
        <v>0</v>
      </c>
      <c r="AC136" s="65">
        <f t="shared" si="11"/>
        <v>0</v>
      </c>
      <c r="AD136" s="65">
        <f t="shared" si="11"/>
        <v>0</v>
      </c>
    </row>
    <row r="137" spans="1:60" x14ac:dyDescent="0.2">
      <c r="A137" s="78"/>
      <c r="B137" s="79"/>
      <c r="C137" s="78"/>
      <c r="D137" s="78"/>
      <c r="E137" s="78"/>
      <c r="F137" s="78"/>
      <c r="G137" s="78"/>
      <c r="H137" s="80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0"/>
      <c r="U137" s="80"/>
      <c r="V137" s="81"/>
      <c r="W137" s="81"/>
      <c r="X137" s="81"/>
      <c r="Y137" s="81"/>
      <c r="Z137" s="81"/>
      <c r="AA137" s="81"/>
      <c r="AB137" s="81"/>
      <c r="AC137" s="81"/>
      <c r="AD137" s="81"/>
    </row>
    <row r="138" spans="1:60" ht="25.5" customHeight="1" x14ac:dyDescent="0.2">
      <c r="A138" s="71"/>
      <c r="B138" s="66">
        <f>+C139</f>
        <v>0</v>
      </c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2"/>
      <c r="W138" s="71"/>
      <c r="X138" s="71"/>
      <c r="Y138" s="71"/>
      <c r="Z138" s="71"/>
      <c r="AA138" s="71"/>
      <c r="AB138" s="71"/>
      <c r="AC138" s="71"/>
      <c r="AD138" s="71"/>
    </row>
    <row r="139" spans="1:60" x14ac:dyDescent="0.2">
      <c r="A139" s="73"/>
      <c r="B139" s="75"/>
      <c r="C139" s="74"/>
      <c r="D139" s="73"/>
      <c r="E139" s="73"/>
      <c r="F139" s="73"/>
      <c r="G139" s="73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3"/>
      <c r="Y139" s="73"/>
      <c r="Z139" s="73"/>
      <c r="AA139" s="77"/>
      <c r="AB139" s="77"/>
      <c r="AC139" s="77"/>
      <c r="AD139" s="77"/>
    </row>
    <row r="140" spans="1:60" ht="15" customHeight="1" x14ac:dyDescent="0.2">
      <c r="A140" s="73"/>
      <c r="B140" s="75"/>
      <c r="C140" s="74"/>
      <c r="D140" s="73"/>
      <c r="E140" s="73"/>
      <c r="F140" s="73"/>
      <c r="G140" s="73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3"/>
      <c r="Y140" s="73"/>
      <c r="Z140" s="73"/>
      <c r="AA140" s="77"/>
      <c r="AB140" s="77"/>
      <c r="AC140" s="77"/>
      <c r="AD140" s="77"/>
    </row>
    <row r="141" spans="1:60" ht="15" customHeight="1" x14ac:dyDescent="0.2">
      <c r="A141" s="73"/>
      <c r="B141" s="75"/>
      <c r="C141" s="74"/>
      <c r="D141" s="73"/>
      <c r="E141" s="73"/>
      <c r="F141" s="73"/>
      <c r="G141" s="73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3"/>
      <c r="Y141" s="73"/>
      <c r="Z141" s="73"/>
      <c r="AA141" s="77"/>
      <c r="AB141" s="77"/>
      <c r="AC141" s="77"/>
      <c r="AD141" s="77"/>
    </row>
    <row r="142" spans="1:60" ht="15" customHeight="1" x14ac:dyDescent="0.2">
      <c r="A142" s="73"/>
      <c r="B142" s="75"/>
      <c r="C142" s="74"/>
      <c r="D142" s="73"/>
      <c r="E142" s="73"/>
      <c r="F142" s="73"/>
      <c r="G142" s="73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3"/>
      <c r="Y142" s="73"/>
      <c r="Z142" s="73"/>
      <c r="AA142" s="77"/>
      <c r="AB142" s="77"/>
      <c r="AC142" s="77"/>
      <c r="AD142" s="77"/>
    </row>
    <row r="143" spans="1:60" ht="15" customHeight="1" x14ac:dyDescent="0.2">
      <c r="A143" s="73"/>
      <c r="B143" s="75"/>
      <c r="C143" s="74"/>
      <c r="D143" s="73"/>
      <c r="E143" s="73"/>
      <c r="F143" s="73"/>
      <c r="G143" s="73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3"/>
      <c r="Y143" s="73"/>
      <c r="Z143" s="73"/>
      <c r="AA143" s="77"/>
      <c r="AB143" s="77"/>
      <c r="AC143" s="77"/>
      <c r="AD143" s="77"/>
    </row>
    <row r="144" spans="1:60" ht="15" customHeight="1" x14ac:dyDescent="0.2">
      <c r="A144" s="73"/>
      <c r="B144" s="75"/>
      <c r="C144" s="74"/>
      <c r="D144" s="73"/>
      <c r="E144" s="73"/>
      <c r="F144" s="73"/>
      <c r="G144" s="73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3"/>
      <c r="Y144" s="73"/>
      <c r="Z144" s="73"/>
      <c r="AA144" s="77"/>
      <c r="AB144" s="77"/>
      <c r="AC144" s="77"/>
      <c r="AD144" s="77"/>
    </row>
    <row r="145" spans="1:60" ht="15" customHeight="1" x14ac:dyDescent="0.2">
      <c r="A145" s="73"/>
      <c r="B145" s="75"/>
      <c r="C145" s="74"/>
      <c r="D145" s="73"/>
      <c r="E145" s="73"/>
      <c r="F145" s="73"/>
      <c r="G145" s="73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3"/>
      <c r="Y145" s="73"/>
      <c r="Z145" s="73"/>
      <c r="AA145" s="77"/>
      <c r="AB145" s="77"/>
      <c r="AC145" s="77"/>
      <c r="AD145" s="77"/>
    </row>
    <row r="146" spans="1:60" ht="15" customHeight="1" x14ac:dyDescent="0.2">
      <c r="A146" s="73"/>
      <c r="B146" s="75"/>
      <c r="C146" s="74"/>
      <c r="D146" s="73"/>
      <c r="E146" s="73"/>
      <c r="F146" s="73"/>
      <c r="G146" s="73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3"/>
      <c r="Y146" s="73"/>
      <c r="Z146" s="73"/>
      <c r="AA146" s="77"/>
      <c r="AB146" s="77"/>
      <c r="AC146" s="77"/>
      <c r="AD146" s="77"/>
    </row>
    <row r="147" spans="1:60" ht="15" customHeight="1" x14ac:dyDescent="0.2">
      <c r="A147" s="73"/>
      <c r="B147" s="75"/>
      <c r="C147" s="74"/>
      <c r="D147" s="73"/>
      <c r="E147" s="73"/>
      <c r="F147" s="73"/>
      <c r="G147" s="73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3"/>
      <c r="Y147" s="73"/>
      <c r="Z147" s="73"/>
      <c r="AA147" s="77"/>
      <c r="AB147" s="77"/>
      <c r="AC147" s="77"/>
      <c r="AD147" s="77"/>
    </row>
    <row r="148" spans="1:60" ht="15" customHeight="1" x14ac:dyDescent="0.2">
      <c r="A148" s="73"/>
      <c r="B148" s="75"/>
      <c r="C148" s="74"/>
      <c r="D148" s="73"/>
      <c r="E148" s="73"/>
      <c r="F148" s="73"/>
      <c r="G148" s="73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3"/>
      <c r="Y148" s="73"/>
      <c r="Z148" s="73"/>
      <c r="AA148" s="77"/>
      <c r="AB148" s="77"/>
      <c r="AC148" s="77"/>
      <c r="AD148" s="77"/>
    </row>
    <row r="149" spans="1:60" ht="15" customHeight="1" x14ac:dyDescent="0.2">
      <c r="A149" s="73"/>
      <c r="B149" s="75"/>
      <c r="C149" s="74"/>
      <c r="D149" s="73"/>
      <c r="E149" s="73"/>
      <c r="F149" s="73"/>
      <c r="G149" s="73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3"/>
      <c r="Y149" s="73"/>
      <c r="Z149" s="73"/>
      <c r="AA149" s="77"/>
      <c r="AB149" s="77"/>
      <c r="AC149" s="77"/>
      <c r="AD149" s="77"/>
    </row>
    <row r="150" spans="1:60" ht="15" customHeight="1" x14ac:dyDescent="0.2">
      <c r="A150" s="73"/>
      <c r="B150" s="75"/>
      <c r="C150" s="74"/>
      <c r="D150" s="73"/>
      <c r="E150" s="73"/>
      <c r="F150" s="73"/>
      <c r="G150" s="73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3"/>
      <c r="Y150" s="73"/>
      <c r="Z150" s="73"/>
      <c r="AA150" s="77"/>
      <c r="AB150" s="77"/>
      <c r="AC150" s="77"/>
      <c r="AD150" s="77"/>
    </row>
    <row r="151" spans="1:60" ht="15" customHeight="1" x14ac:dyDescent="0.2">
      <c r="A151" s="73"/>
      <c r="B151" s="75"/>
      <c r="C151" s="74"/>
      <c r="D151" s="73"/>
      <c r="E151" s="73"/>
      <c r="F151" s="73"/>
      <c r="G151" s="73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3"/>
      <c r="Y151" s="73"/>
      <c r="Z151" s="73"/>
      <c r="AA151" s="77"/>
      <c r="AB151" s="77"/>
      <c r="AC151" s="77"/>
      <c r="AD151" s="77"/>
      <c r="AG151" s="62"/>
      <c r="AJ151" s="62"/>
      <c r="AM151" s="62"/>
      <c r="AS151" s="62"/>
      <c r="AV151" s="62"/>
      <c r="AY151" s="62"/>
      <c r="BB151" s="62"/>
      <c r="BH151" s="62"/>
    </row>
    <row r="152" spans="1:60" ht="15" customHeight="1" x14ac:dyDescent="0.2">
      <c r="A152" s="73"/>
      <c r="B152" s="75"/>
      <c r="C152" s="74"/>
      <c r="D152" s="73"/>
      <c r="E152" s="73"/>
      <c r="F152" s="73"/>
      <c r="G152" s="73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3"/>
      <c r="Y152" s="73"/>
      <c r="Z152" s="73"/>
      <c r="AA152" s="77"/>
      <c r="AB152" s="77"/>
      <c r="AC152" s="77"/>
      <c r="AD152" s="77"/>
    </row>
    <row r="153" spans="1:60" ht="15" customHeight="1" x14ac:dyDescent="0.2">
      <c r="A153" s="73"/>
      <c r="B153" s="75"/>
      <c r="C153" s="74"/>
      <c r="D153" s="73"/>
      <c r="E153" s="73"/>
      <c r="F153" s="73"/>
      <c r="G153" s="73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3"/>
      <c r="Y153" s="73"/>
      <c r="Z153" s="73"/>
      <c r="AA153" s="77"/>
      <c r="AB153" s="77"/>
      <c r="AC153" s="77"/>
      <c r="AD153" s="77"/>
      <c r="AG153" s="39"/>
      <c r="AJ153" s="39"/>
      <c r="AM153" s="39"/>
      <c r="AS153" s="39"/>
      <c r="AV153" s="39"/>
      <c r="AY153" s="39"/>
      <c r="BB153" s="39"/>
      <c r="BH153" s="39"/>
    </row>
    <row r="154" spans="1:60" ht="15" customHeight="1" x14ac:dyDescent="0.2">
      <c r="A154" s="73"/>
      <c r="B154" s="75"/>
      <c r="C154" s="74"/>
      <c r="D154" s="73"/>
      <c r="E154" s="73"/>
      <c r="F154" s="73"/>
      <c r="G154" s="73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3"/>
      <c r="Y154" s="73"/>
      <c r="Z154" s="73"/>
      <c r="AA154" s="77"/>
      <c r="AB154" s="77"/>
      <c r="AC154" s="77"/>
      <c r="AD154" s="77"/>
    </row>
    <row r="155" spans="1:60" ht="15" customHeight="1" x14ac:dyDescent="0.2">
      <c r="A155" s="73"/>
      <c r="B155" s="75"/>
      <c r="C155" s="74"/>
      <c r="D155" s="73"/>
      <c r="E155" s="73"/>
      <c r="F155" s="73"/>
      <c r="G155" s="73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3"/>
      <c r="Y155" s="73"/>
      <c r="Z155" s="73"/>
      <c r="AA155" s="77"/>
      <c r="AB155" s="77"/>
      <c r="AC155" s="77"/>
      <c r="AD155" s="77"/>
    </row>
    <row r="156" spans="1:60" ht="15" customHeight="1" x14ac:dyDescent="0.2">
      <c r="A156" s="73"/>
      <c r="B156" s="75"/>
      <c r="C156" s="74"/>
      <c r="D156" s="73"/>
      <c r="E156" s="73"/>
      <c r="F156" s="73"/>
      <c r="G156" s="73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3"/>
      <c r="Y156" s="73"/>
      <c r="Z156" s="73"/>
      <c r="AA156" s="77"/>
      <c r="AB156" s="77"/>
      <c r="AC156" s="77"/>
      <c r="AD156" s="77"/>
    </row>
    <row r="157" spans="1:60" ht="15" customHeight="1" x14ac:dyDescent="0.2">
      <c r="A157" s="73"/>
      <c r="B157" s="75"/>
      <c r="C157" s="74"/>
      <c r="D157" s="73"/>
      <c r="E157" s="73"/>
      <c r="F157" s="73"/>
      <c r="G157" s="73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3"/>
      <c r="Y157" s="73"/>
      <c r="Z157" s="73"/>
      <c r="AA157" s="77"/>
      <c r="AB157" s="77"/>
      <c r="AC157" s="77"/>
      <c r="AD157" s="77"/>
      <c r="AG157" s="62"/>
      <c r="AJ157" s="62"/>
      <c r="AM157" s="62"/>
      <c r="AS157" s="62"/>
      <c r="AV157" s="62"/>
      <c r="AY157" s="62"/>
      <c r="BB157" s="62"/>
      <c r="BH157" s="62"/>
    </row>
    <row r="158" spans="1:60" ht="15" customHeight="1" x14ac:dyDescent="0.2">
      <c r="A158" s="73"/>
      <c r="B158" s="75"/>
      <c r="C158" s="74"/>
      <c r="D158" s="73"/>
      <c r="E158" s="73"/>
      <c r="F158" s="73"/>
      <c r="G158" s="73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3"/>
      <c r="Y158" s="73"/>
      <c r="Z158" s="73"/>
      <c r="AA158" s="77"/>
      <c r="AB158" s="77"/>
      <c r="AC158" s="77"/>
      <c r="AD158" s="77"/>
    </row>
    <row r="159" spans="1:60" ht="15" customHeight="1" x14ac:dyDescent="0.2">
      <c r="A159" s="73"/>
      <c r="B159" s="75"/>
      <c r="C159" s="74"/>
      <c r="D159" s="73"/>
      <c r="E159" s="73"/>
      <c r="F159" s="73"/>
      <c r="G159" s="73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3"/>
      <c r="Y159" s="73"/>
      <c r="Z159" s="73"/>
      <c r="AA159" s="77"/>
      <c r="AB159" s="77"/>
      <c r="AC159" s="77"/>
      <c r="AD159" s="77"/>
      <c r="AG159" s="39"/>
      <c r="AJ159" s="39"/>
      <c r="AM159" s="39"/>
      <c r="AS159" s="39"/>
      <c r="AV159" s="39"/>
      <c r="AY159" s="39"/>
      <c r="BB159" s="39"/>
      <c r="BH159" s="39"/>
    </row>
    <row r="160" spans="1:60" ht="15" customHeight="1" x14ac:dyDescent="0.2">
      <c r="A160" s="73"/>
      <c r="B160" s="75"/>
      <c r="C160" s="74"/>
      <c r="D160" s="73"/>
      <c r="E160" s="73"/>
      <c r="F160" s="73"/>
      <c r="G160" s="73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3"/>
      <c r="Y160" s="73"/>
      <c r="Z160" s="73"/>
      <c r="AA160" s="77"/>
      <c r="AB160" s="77"/>
      <c r="AC160" s="77"/>
      <c r="AD160" s="77"/>
    </row>
    <row r="161" spans="1:30" ht="15" customHeight="1" x14ac:dyDescent="0.2">
      <c r="A161" s="73"/>
      <c r="B161" s="75"/>
      <c r="C161" s="74"/>
      <c r="D161" s="73"/>
      <c r="E161" s="73"/>
      <c r="F161" s="73"/>
      <c r="G161" s="73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3"/>
      <c r="Y161" s="73"/>
      <c r="Z161" s="73"/>
      <c r="AA161" s="77"/>
      <c r="AB161" s="77"/>
      <c r="AC161" s="77"/>
      <c r="AD161" s="77"/>
    </row>
    <row r="162" spans="1:30" ht="15" customHeight="1" x14ac:dyDescent="0.2">
      <c r="A162" s="73"/>
      <c r="B162" s="75"/>
      <c r="C162" s="74"/>
      <c r="D162" s="73"/>
      <c r="E162" s="73"/>
      <c r="F162" s="73"/>
      <c r="G162" s="73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3"/>
      <c r="Y162" s="73"/>
      <c r="Z162" s="73"/>
      <c r="AA162" s="77"/>
      <c r="AB162" s="77"/>
      <c r="AC162" s="77"/>
      <c r="AD162" s="77"/>
    </row>
    <row r="163" spans="1:30" ht="15" customHeight="1" x14ac:dyDescent="0.2">
      <c r="A163" s="73"/>
      <c r="B163" s="75"/>
      <c r="C163" s="74"/>
      <c r="D163" s="73"/>
      <c r="E163" s="73"/>
      <c r="F163" s="73"/>
      <c r="G163" s="73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3"/>
      <c r="Y163" s="73"/>
      <c r="Z163" s="73"/>
      <c r="AA163" s="77"/>
      <c r="AB163" s="77"/>
      <c r="AC163" s="77"/>
      <c r="AD163" s="77"/>
    </row>
    <row r="164" spans="1:30" ht="15" customHeight="1" x14ac:dyDescent="0.2">
      <c r="A164" s="73"/>
      <c r="B164" s="75"/>
      <c r="C164" s="74"/>
      <c r="D164" s="73"/>
      <c r="E164" s="73"/>
      <c r="F164" s="73"/>
      <c r="G164" s="73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3"/>
      <c r="Y164" s="73"/>
      <c r="Z164" s="73"/>
      <c r="AA164" s="77"/>
      <c r="AB164" s="77"/>
      <c r="AC164" s="77"/>
      <c r="AD164" s="77"/>
    </row>
    <row r="165" spans="1:30" ht="15" customHeight="1" x14ac:dyDescent="0.2">
      <c r="A165" s="73"/>
      <c r="B165" s="75"/>
      <c r="C165" s="74"/>
      <c r="D165" s="73"/>
      <c r="E165" s="73"/>
      <c r="F165" s="73"/>
      <c r="G165" s="73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3"/>
      <c r="Y165" s="73"/>
      <c r="Z165" s="73"/>
      <c r="AA165" s="77"/>
      <c r="AB165" s="77"/>
      <c r="AC165" s="77"/>
      <c r="AD165" s="77"/>
    </row>
    <row r="166" spans="1:30" ht="15" customHeight="1" x14ac:dyDescent="0.2">
      <c r="A166" s="73"/>
      <c r="B166" s="75"/>
      <c r="C166" s="74"/>
      <c r="D166" s="73"/>
      <c r="E166" s="73"/>
      <c r="F166" s="73"/>
      <c r="G166" s="73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3"/>
      <c r="Y166" s="73"/>
      <c r="Z166" s="73"/>
      <c r="AA166" s="77"/>
      <c r="AB166" s="77"/>
      <c r="AC166" s="77"/>
      <c r="AD166" s="77"/>
    </row>
    <row r="167" spans="1:30" ht="15" customHeight="1" x14ac:dyDescent="0.2">
      <c r="A167" s="73"/>
      <c r="B167" s="75"/>
      <c r="C167" s="74"/>
      <c r="D167" s="73"/>
      <c r="E167" s="73"/>
      <c r="F167" s="73"/>
      <c r="G167" s="73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3"/>
      <c r="Y167" s="73"/>
      <c r="Z167" s="73"/>
      <c r="AA167" s="77"/>
      <c r="AB167" s="77"/>
      <c r="AC167" s="77"/>
      <c r="AD167" s="77"/>
    </row>
    <row r="168" spans="1:30" ht="15" customHeight="1" x14ac:dyDescent="0.2">
      <c r="A168" s="73"/>
      <c r="B168" s="75"/>
      <c r="C168" s="74"/>
      <c r="D168" s="73"/>
      <c r="E168" s="73"/>
      <c r="F168" s="73"/>
      <c r="G168" s="73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3"/>
      <c r="Y168" s="73"/>
      <c r="Z168" s="73"/>
      <c r="AA168" s="77"/>
      <c r="AB168" s="77"/>
      <c r="AC168" s="77"/>
      <c r="AD168" s="77"/>
    </row>
    <row r="169" spans="1:30" ht="15" customHeight="1" x14ac:dyDescent="0.2">
      <c r="A169" s="73"/>
      <c r="B169" s="75"/>
      <c r="C169" s="74"/>
      <c r="D169" s="73"/>
      <c r="E169" s="73"/>
      <c r="F169" s="73"/>
      <c r="G169" s="73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3"/>
      <c r="Y169" s="73"/>
      <c r="Z169" s="73"/>
      <c r="AA169" s="77"/>
      <c r="AB169" s="77"/>
      <c r="AC169" s="77"/>
      <c r="AD169" s="77"/>
    </row>
    <row r="170" spans="1:30" ht="15" customHeight="1" x14ac:dyDescent="0.2">
      <c r="A170" s="73"/>
      <c r="B170" s="75"/>
      <c r="C170" s="74"/>
      <c r="D170" s="73"/>
      <c r="E170" s="73"/>
      <c r="F170" s="73"/>
      <c r="G170" s="73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3"/>
      <c r="Y170" s="73"/>
      <c r="Z170" s="73"/>
      <c r="AA170" s="77"/>
      <c r="AB170" s="77"/>
      <c r="AC170" s="77"/>
      <c r="AD170" s="77"/>
    </row>
    <row r="171" spans="1:30" ht="15" customHeight="1" x14ac:dyDescent="0.2">
      <c r="A171" s="73"/>
      <c r="B171" s="75"/>
      <c r="C171" s="74"/>
      <c r="D171" s="73"/>
      <c r="E171" s="73"/>
      <c r="F171" s="73"/>
      <c r="G171" s="73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3"/>
      <c r="Y171" s="73"/>
      <c r="Z171" s="73"/>
      <c r="AA171" s="77"/>
      <c r="AB171" s="77"/>
      <c r="AC171" s="77"/>
      <c r="AD171" s="77"/>
    </row>
    <row r="172" spans="1:30" ht="15" customHeight="1" x14ac:dyDescent="0.2">
      <c r="A172" s="73"/>
      <c r="B172" s="75"/>
      <c r="C172" s="74"/>
      <c r="D172" s="73"/>
      <c r="E172" s="73"/>
      <c r="F172" s="73"/>
      <c r="G172" s="73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3"/>
      <c r="Y172" s="73"/>
      <c r="Z172" s="73"/>
      <c r="AA172" s="77"/>
      <c r="AB172" s="77"/>
      <c r="AC172" s="77"/>
      <c r="AD172" s="77"/>
    </row>
    <row r="173" spans="1:30" ht="15" customHeight="1" x14ac:dyDescent="0.2">
      <c r="A173" s="73"/>
      <c r="B173" s="75"/>
      <c r="C173" s="74"/>
      <c r="D173" s="73"/>
      <c r="E173" s="73"/>
      <c r="F173" s="73"/>
      <c r="G173" s="73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3"/>
      <c r="Y173" s="73"/>
      <c r="Z173" s="73"/>
      <c r="AA173" s="77"/>
      <c r="AB173" s="77"/>
      <c r="AC173" s="77"/>
      <c r="AD173" s="77"/>
    </row>
    <row r="174" spans="1:30" ht="15" customHeight="1" x14ac:dyDescent="0.2">
      <c r="A174" s="73"/>
      <c r="B174" s="75"/>
      <c r="C174" s="74"/>
      <c r="D174" s="73"/>
      <c r="E174" s="73"/>
      <c r="F174" s="73"/>
      <c r="G174" s="73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3"/>
      <c r="Y174" s="73"/>
      <c r="Z174" s="73"/>
      <c r="AA174" s="77"/>
      <c r="AB174" s="77"/>
      <c r="AC174" s="77"/>
      <c r="AD174" s="77"/>
    </row>
    <row r="175" spans="1:30" ht="15" customHeight="1" x14ac:dyDescent="0.2">
      <c r="A175" s="73"/>
      <c r="B175" s="75"/>
      <c r="C175" s="74"/>
      <c r="D175" s="73"/>
      <c r="E175" s="73"/>
      <c r="F175" s="73"/>
      <c r="G175" s="73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3"/>
      <c r="Y175" s="73"/>
      <c r="Z175" s="73"/>
      <c r="AA175" s="77"/>
      <c r="AB175" s="77"/>
      <c r="AC175" s="77"/>
      <c r="AD175" s="77"/>
    </row>
    <row r="176" spans="1:30" ht="15" customHeight="1" x14ac:dyDescent="0.2">
      <c r="A176" s="73"/>
      <c r="B176" s="75"/>
      <c r="C176" s="74"/>
      <c r="D176" s="73"/>
      <c r="E176" s="73"/>
      <c r="F176" s="73"/>
      <c r="G176" s="73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3"/>
      <c r="Y176" s="73"/>
      <c r="Z176" s="73"/>
      <c r="AA176" s="77"/>
      <c r="AB176" s="77"/>
      <c r="AC176" s="77"/>
      <c r="AD176" s="77"/>
    </row>
    <row r="177" spans="1:60" ht="15" customHeight="1" x14ac:dyDescent="0.2">
      <c r="A177" s="73"/>
      <c r="B177" s="75"/>
      <c r="C177" s="74"/>
      <c r="D177" s="73"/>
      <c r="E177" s="73"/>
      <c r="F177" s="73"/>
      <c r="G177" s="73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3"/>
      <c r="Y177" s="73"/>
      <c r="Z177" s="73"/>
      <c r="AA177" s="77"/>
      <c r="AB177" s="77"/>
      <c r="AC177" s="77"/>
      <c r="AD177" s="77"/>
    </row>
    <row r="178" spans="1:60" ht="15" customHeight="1" x14ac:dyDescent="0.2">
      <c r="A178" s="73"/>
      <c r="B178" s="75"/>
      <c r="C178" s="74"/>
      <c r="D178" s="73"/>
      <c r="E178" s="73"/>
      <c r="F178" s="73"/>
      <c r="G178" s="73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3"/>
      <c r="Y178" s="73"/>
      <c r="Z178" s="73"/>
      <c r="AA178" s="77"/>
      <c r="AB178" s="77"/>
      <c r="AC178" s="77"/>
      <c r="AD178" s="77"/>
    </row>
    <row r="179" spans="1:60" ht="15" customHeight="1" x14ac:dyDescent="0.2">
      <c r="A179" s="73"/>
      <c r="B179" s="75"/>
      <c r="C179" s="74"/>
      <c r="D179" s="73"/>
      <c r="E179" s="73"/>
      <c r="F179" s="73"/>
      <c r="G179" s="73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3"/>
      <c r="Y179" s="73"/>
      <c r="Z179" s="73"/>
      <c r="AA179" s="77"/>
      <c r="AB179" s="77"/>
      <c r="AC179" s="77"/>
      <c r="AD179" s="77"/>
    </row>
    <row r="180" spans="1:60" ht="15" customHeight="1" x14ac:dyDescent="0.2">
      <c r="A180" s="73"/>
      <c r="B180" s="75"/>
      <c r="C180" s="74"/>
      <c r="D180" s="73"/>
      <c r="E180" s="73"/>
      <c r="F180" s="73"/>
      <c r="G180" s="73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3"/>
      <c r="Y180" s="73"/>
      <c r="Z180" s="73"/>
      <c r="AA180" s="77"/>
      <c r="AB180" s="77"/>
      <c r="AC180" s="77"/>
      <c r="AD180" s="77"/>
    </row>
    <row r="181" spans="1:60" ht="15" customHeight="1" x14ac:dyDescent="0.2">
      <c r="A181" s="73"/>
      <c r="B181" s="75"/>
      <c r="C181" s="74"/>
      <c r="D181" s="73"/>
      <c r="E181" s="73"/>
      <c r="F181" s="73"/>
      <c r="G181" s="73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3"/>
      <c r="Y181" s="73"/>
      <c r="Z181" s="73"/>
      <c r="AA181" s="77"/>
      <c r="AB181" s="77"/>
      <c r="AC181" s="77"/>
      <c r="AD181" s="77"/>
    </row>
    <row r="182" spans="1:60" ht="15" customHeight="1" x14ac:dyDescent="0.2">
      <c r="A182" s="73"/>
      <c r="B182" s="75"/>
      <c r="C182" s="74"/>
      <c r="D182" s="73"/>
      <c r="E182" s="73"/>
      <c r="F182" s="73"/>
      <c r="G182" s="73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3"/>
      <c r="Y182" s="73"/>
      <c r="Z182" s="73"/>
      <c r="AA182" s="77"/>
      <c r="AB182" s="77"/>
      <c r="AC182" s="77"/>
      <c r="AD182" s="77"/>
    </row>
    <row r="183" spans="1:60" ht="15" customHeight="1" x14ac:dyDescent="0.2">
      <c r="A183" s="73"/>
      <c r="B183" s="75"/>
      <c r="C183" s="74"/>
      <c r="D183" s="73"/>
      <c r="E183" s="73"/>
      <c r="F183" s="73"/>
      <c r="G183" s="73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3"/>
      <c r="Y183" s="73"/>
      <c r="Z183" s="73"/>
      <c r="AA183" s="77"/>
      <c r="AB183" s="77"/>
      <c r="AC183" s="77"/>
      <c r="AD183" s="77"/>
    </row>
    <row r="184" spans="1:60" ht="15" customHeight="1" x14ac:dyDescent="0.2">
      <c r="A184" s="73"/>
      <c r="B184" s="75"/>
      <c r="C184" s="74"/>
      <c r="D184" s="73"/>
      <c r="E184" s="73"/>
      <c r="F184" s="73"/>
      <c r="G184" s="73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3"/>
      <c r="Y184" s="73"/>
      <c r="Z184" s="73"/>
      <c r="AA184" s="77"/>
      <c r="AB184" s="77"/>
      <c r="AC184" s="77"/>
      <c r="AD184" s="77"/>
    </row>
    <row r="185" spans="1:60" ht="15" customHeight="1" x14ac:dyDescent="0.2">
      <c r="A185" s="73"/>
      <c r="B185" s="75"/>
      <c r="C185" s="74"/>
      <c r="D185" s="73"/>
      <c r="E185" s="73"/>
      <c r="F185" s="73"/>
      <c r="G185" s="73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3"/>
      <c r="Y185" s="73"/>
      <c r="Z185" s="73"/>
      <c r="AA185" s="77"/>
      <c r="AB185" s="77"/>
      <c r="AC185" s="77"/>
      <c r="AD185" s="77"/>
    </row>
    <row r="186" spans="1:60" ht="15" customHeight="1" x14ac:dyDescent="0.2">
      <c r="A186" s="73"/>
      <c r="B186" s="75"/>
      <c r="C186" s="74"/>
      <c r="D186" s="73"/>
      <c r="E186" s="73"/>
      <c r="F186" s="73"/>
      <c r="G186" s="73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3"/>
      <c r="Y186" s="73"/>
      <c r="Z186" s="73"/>
      <c r="AA186" s="77"/>
      <c r="AB186" s="77"/>
      <c r="AC186" s="77"/>
      <c r="AD186" s="77"/>
    </row>
    <row r="187" spans="1:60" ht="15" customHeight="1" x14ac:dyDescent="0.2">
      <c r="A187" s="73"/>
      <c r="B187" s="75"/>
      <c r="C187" s="74"/>
      <c r="D187" s="73"/>
      <c r="E187" s="73"/>
      <c r="F187" s="73"/>
      <c r="G187" s="73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3"/>
      <c r="Y187" s="73"/>
      <c r="Z187" s="73"/>
      <c r="AA187" s="77"/>
      <c r="AB187" s="77"/>
      <c r="AC187" s="77"/>
      <c r="AD187" s="77"/>
    </row>
    <row r="188" spans="1:60" ht="15" customHeight="1" x14ac:dyDescent="0.2">
      <c r="A188" s="73"/>
      <c r="B188" s="75"/>
      <c r="C188" s="74"/>
      <c r="D188" s="73"/>
      <c r="E188" s="73"/>
      <c r="F188" s="73"/>
      <c r="G188" s="73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3"/>
      <c r="Y188" s="73"/>
      <c r="Z188" s="73"/>
      <c r="AA188" s="77"/>
      <c r="AB188" s="77"/>
      <c r="AC188" s="77"/>
      <c r="AD188" s="77"/>
    </row>
    <row r="189" spans="1:60" ht="15" customHeight="1" x14ac:dyDescent="0.2">
      <c r="A189" s="73"/>
      <c r="B189" s="75"/>
      <c r="C189" s="74"/>
      <c r="D189" s="73"/>
      <c r="E189" s="73"/>
      <c r="F189" s="73"/>
      <c r="G189" s="73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3"/>
      <c r="Y189" s="73"/>
      <c r="Z189" s="73"/>
      <c r="AA189" s="77"/>
      <c r="AB189" s="77"/>
      <c r="AC189" s="77"/>
      <c r="AD189" s="77"/>
      <c r="AG189" s="62"/>
      <c r="AJ189" s="62"/>
      <c r="AM189" s="62"/>
      <c r="AS189" s="62"/>
      <c r="AV189" s="62"/>
      <c r="AY189" s="62"/>
      <c r="BB189" s="62"/>
      <c r="BH189" s="62"/>
    </row>
    <row r="190" spans="1:60" ht="15" customHeight="1" x14ac:dyDescent="0.2">
      <c r="A190" s="73"/>
      <c r="B190" s="75"/>
      <c r="C190" s="74"/>
      <c r="D190" s="73"/>
      <c r="E190" s="73"/>
      <c r="F190" s="73"/>
      <c r="G190" s="73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3"/>
      <c r="Y190" s="73"/>
      <c r="Z190" s="73"/>
      <c r="AA190" s="77"/>
      <c r="AB190" s="77"/>
      <c r="AC190" s="77"/>
      <c r="AD190" s="77"/>
    </row>
    <row r="191" spans="1:60" ht="15" customHeight="1" x14ac:dyDescent="0.2">
      <c r="A191" s="73"/>
      <c r="B191" s="75"/>
      <c r="C191" s="74"/>
      <c r="D191" s="73"/>
      <c r="E191" s="73"/>
      <c r="F191" s="73"/>
      <c r="G191" s="73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3"/>
      <c r="Y191" s="73"/>
      <c r="Z191" s="73"/>
      <c r="AA191" s="77"/>
      <c r="AB191" s="77"/>
      <c r="AC191" s="77"/>
      <c r="AD191" s="77"/>
    </row>
    <row r="192" spans="1:60" ht="15" customHeight="1" x14ac:dyDescent="0.2">
      <c r="A192" s="73"/>
      <c r="B192" s="75"/>
      <c r="C192" s="74"/>
      <c r="D192" s="73"/>
      <c r="E192" s="73"/>
      <c r="F192" s="73"/>
      <c r="G192" s="73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3"/>
      <c r="Y192" s="73"/>
      <c r="Z192" s="73"/>
      <c r="AA192" s="77"/>
      <c r="AB192" s="77"/>
      <c r="AC192" s="77"/>
      <c r="AD192" s="77"/>
    </row>
    <row r="193" spans="1:30" ht="15" customHeight="1" x14ac:dyDescent="0.2">
      <c r="A193" s="73"/>
      <c r="B193" s="75"/>
      <c r="C193" s="74"/>
      <c r="D193" s="73"/>
      <c r="E193" s="73"/>
      <c r="F193" s="73"/>
      <c r="G193" s="73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3"/>
      <c r="Y193" s="73"/>
      <c r="Z193" s="73"/>
      <c r="AA193" s="77"/>
      <c r="AB193" s="77"/>
      <c r="AC193" s="77"/>
      <c r="AD193" s="77"/>
    </row>
    <row r="194" spans="1:30" ht="15" customHeight="1" x14ac:dyDescent="0.2">
      <c r="A194" s="73"/>
      <c r="B194" s="75"/>
      <c r="C194" s="74"/>
      <c r="D194" s="73"/>
      <c r="E194" s="73"/>
      <c r="F194" s="73"/>
      <c r="G194" s="73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3"/>
      <c r="Y194" s="73"/>
      <c r="Z194" s="73"/>
      <c r="AA194" s="77"/>
      <c r="AB194" s="77"/>
      <c r="AC194" s="77"/>
      <c r="AD194" s="77"/>
    </row>
    <row r="195" spans="1:30" ht="15" customHeight="1" x14ac:dyDescent="0.2">
      <c r="A195" s="73"/>
      <c r="B195" s="75"/>
      <c r="C195" s="74"/>
      <c r="D195" s="73"/>
      <c r="E195" s="73"/>
      <c r="F195" s="73"/>
      <c r="G195" s="73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3"/>
      <c r="Y195" s="73"/>
      <c r="Z195" s="73"/>
      <c r="AA195" s="77"/>
      <c r="AB195" s="77"/>
      <c r="AC195" s="77"/>
      <c r="AD195" s="77"/>
    </row>
    <row r="196" spans="1:30" ht="15" customHeight="1" x14ac:dyDescent="0.2">
      <c r="A196" s="73"/>
      <c r="B196" s="75"/>
      <c r="C196" s="74"/>
      <c r="D196" s="73"/>
      <c r="E196" s="73"/>
      <c r="F196" s="73"/>
      <c r="G196" s="73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3"/>
      <c r="Y196" s="73"/>
      <c r="Z196" s="73"/>
      <c r="AA196" s="77"/>
      <c r="AB196" s="77"/>
      <c r="AC196" s="77"/>
      <c r="AD196" s="77"/>
    </row>
    <row r="197" spans="1:30" ht="15" customHeight="1" x14ac:dyDescent="0.2">
      <c r="A197" s="73"/>
      <c r="B197" s="75"/>
      <c r="C197" s="74"/>
      <c r="D197" s="73"/>
      <c r="E197" s="73"/>
      <c r="F197" s="73"/>
      <c r="G197" s="73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3"/>
      <c r="Y197" s="73"/>
      <c r="Z197" s="73"/>
      <c r="AA197" s="77"/>
      <c r="AB197" s="77"/>
      <c r="AC197" s="77"/>
      <c r="AD197" s="77"/>
    </row>
    <row r="198" spans="1:30" ht="15" customHeight="1" x14ac:dyDescent="0.2">
      <c r="A198" s="73"/>
      <c r="B198" s="75"/>
      <c r="C198" s="74"/>
      <c r="D198" s="73"/>
      <c r="E198" s="73"/>
      <c r="F198" s="73"/>
      <c r="G198" s="73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3"/>
      <c r="Y198" s="73"/>
      <c r="Z198" s="73"/>
      <c r="AA198" s="77"/>
      <c r="AB198" s="77"/>
      <c r="AC198" s="77"/>
      <c r="AD198" s="77"/>
    </row>
    <row r="199" spans="1:30" ht="15" customHeight="1" x14ac:dyDescent="0.2">
      <c r="A199" s="73"/>
      <c r="B199" s="75"/>
      <c r="C199" s="74"/>
      <c r="D199" s="73"/>
      <c r="E199" s="73"/>
      <c r="F199" s="73"/>
      <c r="G199" s="73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3"/>
      <c r="Y199" s="73"/>
      <c r="Z199" s="73"/>
      <c r="AA199" s="77"/>
      <c r="AB199" s="77"/>
      <c r="AC199" s="77"/>
      <c r="AD199" s="77"/>
    </row>
    <row r="200" spans="1:30" ht="15" customHeight="1" x14ac:dyDescent="0.2">
      <c r="A200" s="73"/>
      <c r="B200" s="75"/>
      <c r="C200" s="74"/>
      <c r="D200" s="73"/>
      <c r="E200" s="73"/>
      <c r="F200" s="73"/>
      <c r="G200" s="73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3"/>
      <c r="Y200" s="73"/>
      <c r="Z200" s="73"/>
      <c r="AA200" s="77"/>
      <c r="AB200" s="77"/>
      <c r="AC200" s="77"/>
      <c r="AD200" s="77"/>
    </row>
    <row r="201" spans="1:30" x14ac:dyDescent="0.2">
      <c r="A201" s="78"/>
      <c r="B201" s="79"/>
      <c r="C201" s="78"/>
      <c r="D201" s="78"/>
      <c r="E201" s="78"/>
      <c r="F201" s="78"/>
      <c r="G201" s="78"/>
      <c r="H201" s="64"/>
      <c r="I201" s="65">
        <f>SUM(I139:I200)</f>
        <v>0</v>
      </c>
      <c r="J201" s="65">
        <f t="shared" ref="J201:AD201" si="12">SUM(J139:J200)</f>
        <v>0</v>
      </c>
      <c r="K201" s="65">
        <f t="shared" si="12"/>
        <v>0</v>
      </c>
      <c r="L201" s="65">
        <f t="shared" si="12"/>
        <v>0</v>
      </c>
      <c r="M201" s="65">
        <f t="shared" si="12"/>
        <v>0</v>
      </c>
      <c r="N201" s="65">
        <f t="shared" si="12"/>
        <v>0</v>
      </c>
      <c r="O201" s="65">
        <f t="shared" si="12"/>
        <v>0</v>
      </c>
      <c r="P201" s="65">
        <f t="shared" si="12"/>
        <v>0</v>
      </c>
      <c r="Q201" s="65">
        <f t="shared" si="12"/>
        <v>0</v>
      </c>
      <c r="R201" s="65">
        <f t="shared" si="12"/>
        <v>0</v>
      </c>
      <c r="S201" s="65">
        <f t="shared" si="12"/>
        <v>0</v>
      </c>
      <c r="T201" s="69">
        <f t="shared" si="12"/>
        <v>0</v>
      </c>
      <c r="U201" s="69">
        <f t="shared" si="12"/>
        <v>0</v>
      </c>
      <c r="V201" s="65">
        <f t="shared" si="12"/>
        <v>0</v>
      </c>
      <c r="W201" s="65">
        <f t="shared" si="12"/>
        <v>0</v>
      </c>
      <c r="X201" s="65">
        <f t="shared" si="12"/>
        <v>0</v>
      </c>
      <c r="Y201" s="65">
        <f t="shared" si="12"/>
        <v>0</v>
      </c>
      <c r="Z201" s="65">
        <f t="shared" si="12"/>
        <v>0</v>
      </c>
      <c r="AA201" s="65">
        <f t="shared" si="12"/>
        <v>0</v>
      </c>
      <c r="AB201" s="65">
        <f t="shared" si="12"/>
        <v>0</v>
      </c>
      <c r="AC201" s="65">
        <f t="shared" si="12"/>
        <v>0</v>
      </c>
      <c r="AD201" s="65">
        <f t="shared" si="12"/>
        <v>0</v>
      </c>
    </row>
    <row r="202" spans="1:30" x14ac:dyDescent="0.2">
      <c r="A202" s="78"/>
      <c r="B202" s="79"/>
      <c r="C202" s="78"/>
      <c r="D202" s="78"/>
      <c r="E202" s="78"/>
      <c r="F202" s="78"/>
      <c r="G202" s="78"/>
      <c r="H202" s="80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0"/>
      <c r="U202" s="80"/>
      <c r="V202" s="81"/>
      <c r="W202" s="81"/>
      <c r="X202" s="81"/>
      <c r="Y202" s="81"/>
      <c r="Z202" s="81"/>
      <c r="AA202" s="81"/>
      <c r="AB202" s="81"/>
      <c r="AC202" s="81"/>
      <c r="AD202" s="81"/>
    </row>
    <row r="203" spans="1:30" ht="25.5" customHeight="1" x14ac:dyDescent="0.2">
      <c r="A203" s="71"/>
      <c r="B203" s="66">
        <f>+C204</f>
        <v>0</v>
      </c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2"/>
      <c r="W203" s="71"/>
      <c r="X203" s="71"/>
      <c r="Y203" s="71"/>
      <c r="Z203" s="71"/>
      <c r="AA203" s="71"/>
      <c r="AB203" s="71"/>
      <c r="AC203" s="71"/>
      <c r="AD203" s="71"/>
    </row>
    <row r="204" spans="1:30" x14ac:dyDescent="0.2">
      <c r="A204" s="73"/>
      <c r="B204" s="75"/>
      <c r="C204" s="74"/>
      <c r="D204" s="73"/>
      <c r="E204" s="73"/>
      <c r="F204" s="73"/>
      <c r="G204" s="73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3"/>
      <c r="Y204" s="73"/>
      <c r="Z204" s="73"/>
      <c r="AA204" s="77"/>
      <c r="AB204" s="77"/>
      <c r="AC204" s="77"/>
      <c r="AD204" s="77"/>
    </row>
    <row r="205" spans="1:30" ht="15" customHeight="1" x14ac:dyDescent="0.2">
      <c r="A205" s="73"/>
      <c r="B205" s="75"/>
      <c r="C205" s="74"/>
      <c r="D205" s="73"/>
      <c r="E205" s="73"/>
      <c r="F205" s="73"/>
      <c r="G205" s="73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3"/>
      <c r="Y205" s="73"/>
      <c r="Z205" s="73"/>
      <c r="AA205" s="77"/>
      <c r="AB205" s="77"/>
      <c r="AC205" s="77"/>
      <c r="AD205" s="77"/>
    </row>
    <row r="206" spans="1:30" ht="15" customHeight="1" x14ac:dyDescent="0.2">
      <c r="A206" s="73"/>
      <c r="B206" s="75"/>
      <c r="C206" s="74"/>
      <c r="D206" s="73"/>
      <c r="E206" s="73"/>
      <c r="F206" s="73"/>
      <c r="G206" s="73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3"/>
      <c r="Y206" s="73"/>
      <c r="Z206" s="73"/>
      <c r="AA206" s="77"/>
      <c r="AB206" s="77"/>
      <c r="AC206" s="77"/>
      <c r="AD206" s="77"/>
    </row>
    <row r="207" spans="1:30" ht="15" customHeight="1" x14ac:dyDescent="0.2">
      <c r="A207" s="73"/>
      <c r="B207" s="75"/>
      <c r="C207" s="74"/>
      <c r="D207" s="73"/>
      <c r="E207" s="73"/>
      <c r="F207" s="73"/>
      <c r="G207" s="73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3"/>
      <c r="Y207" s="73"/>
      <c r="Z207" s="73"/>
      <c r="AA207" s="77"/>
      <c r="AB207" s="77"/>
      <c r="AC207" s="77"/>
      <c r="AD207" s="77"/>
    </row>
    <row r="208" spans="1:30" ht="15" customHeight="1" x14ac:dyDescent="0.2">
      <c r="A208" s="73"/>
      <c r="B208" s="75"/>
      <c r="C208" s="74"/>
      <c r="D208" s="73"/>
      <c r="E208" s="73"/>
      <c r="F208" s="73"/>
      <c r="G208" s="73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3"/>
      <c r="Y208" s="73"/>
      <c r="Z208" s="73"/>
      <c r="AA208" s="77"/>
      <c r="AB208" s="77"/>
      <c r="AC208" s="77"/>
      <c r="AD208" s="77"/>
    </row>
    <row r="209" spans="1:30" ht="15" customHeight="1" x14ac:dyDescent="0.2">
      <c r="A209" s="73"/>
      <c r="B209" s="75"/>
      <c r="C209" s="74"/>
      <c r="D209" s="73"/>
      <c r="E209" s="73"/>
      <c r="F209" s="73"/>
      <c r="G209" s="73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3"/>
      <c r="Y209" s="73"/>
      <c r="Z209" s="73"/>
      <c r="AA209" s="77"/>
      <c r="AB209" s="77"/>
      <c r="AC209" s="77"/>
      <c r="AD209" s="77"/>
    </row>
    <row r="210" spans="1:30" ht="15" customHeight="1" x14ac:dyDescent="0.2">
      <c r="A210" s="73"/>
      <c r="B210" s="75"/>
      <c r="C210" s="74"/>
      <c r="D210" s="73"/>
      <c r="E210" s="73"/>
      <c r="F210" s="73"/>
      <c r="G210" s="73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3"/>
      <c r="Y210" s="73"/>
      <c r="Z210" s="73"/>
      <c r="AA210" s="77"/>
      <c r="AB210" s="77"/>
      <c r="AC210" s="77"/>
      <c r="AD210" s="77"/>
    </row>
    <row r="211" spans="1:30" ht="15" customHeight="1" x14ac:dyDescent="0.2">
      <c r="A211" s="73"/>
      <c r="B211" s="75"/>
      <c r="C211" s="74"/>
      <c r="D211" s="73"/>
      <c r="E211" s="73"/>
      <c r="F211" s="73"/>
      <c r="G211" s="73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3"/>
      <c r="Y211" s="73"/>
      <c r="Z211" s="73"/>
      <c r="AA211" s="77"/>
      <c r="AB211" s="77"/>
      <c r="AC211" s="77"/>
      <c r="AD211" s="77"/>
    </row>
    <row r="212" spans="1:30" ht="15" customHeight="1" x14ac:dyDescent="0.2">
      <c r="A212" s="73"/>
      <c r="B212" s="75"/>
      <c r="C212" s="74"/>
      <c r="D212" s="73"/>
      <c r="E212" s="73"/>
      <c r="F212" s="73"/>
      <c r="G212" s="73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3"/>
      <c r="Y212" s="73"/>
      <c r="Z212" s="73"/>
      <c r="AA212" s="77"/>
      <c r="AB212" s="77"/>
      <c r="AC212" s="77"/>
      <c r="AD212" s="77"/>
    </row>
    <row r="213" spans="1:30" ht="15" customHeight="1" x14ac:dyDescent="0.2">
      <c r="A213" s="73"/>
      <c r="B213" s="75"/>
      <c r="C213" s="74"/>
      <c r="D213" s="73"/>
      <c r="E213" s="73"/>
      <c r="F213" s="73"/>
      <c r="G213" s="73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3"/>
      <c r="Y213" s="73"/>
      <c r="Z213" s="73"/>
      <c r="AA213" s="77"/>
      <c r="AB213" s="77"/>
      <c r="AC213" s="77"/>
      <c r="AD213" s="77"/>
    </row>
    <row r="214" spans="1:30" ht="15" customHeight="1" x14ac:dyDescent="0.2">
      <c r="A214" s="73"/>
      <c r="B214" s="75"/>
      <c r="C214" s="74"/>
      <c r="D214" s="73"/>
      <c r="E214" s="73"/>
      <c r="F214" s="73"/>
      <c r="G214" s="73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3"/>
      <c r="Y214" s="73"/>
      <c r="Z214" s="73"/>
      <c r="AA214" s="77"/>
      <c r="AB214" s="77"/>
      <c r="AC214" s="77"/>
      <c r="AD214" s="77"/>
    </row>
    <row r="215" spans="1:30" ht="15" customHeight="1" x14ac:dyDescent="0.2">
      <c r="A215" s="73"/>
      <c r="B215" s="75"/>
      <c r="C215" s="74"/>
      <c r="D215" s="73"/>
      <c r="E215" s="73"/>
      <c r="F215" s="73"/>
      <c r="G215" s="73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3"/>
      <c r="Y215" s="73"/>
      <c r="Z215" s="73"/>
      <c r="AA215" s="77"/>
      <c r="AB215" s="77"/>
      <c r="AC215" s="77"/>
      <c r="AD215" s="77"/>
    </row>
    <row r="216" spans="1:30" ht="15" customHeight="1" x14ac:dyDescent="0.2">
      <c r="A216" s="73"/>
      <c r="B216" s="75"/>
      <c r="C216" s="74"/>
      <c r="D216" s="73"/>
      <c r="E216" s="73"/>
      <c r="F216" s="73"/>
      <c r="G216" s="73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3"/>
      <c r="Y216" s="73"/>
      <c r="Z216" s="73"/>
      <c r="AA216" s="77"/>
      <c r="AB216" s="77"/>
      <c r="AC216" s="77"/>
      <c r="AD216" s="77"/>
    </row>
    <row r="217" spans="1:30" ht="15" customHeight="1" x14ac:dyDescent="0.2">
      <c r="A217" s="73"/>
      <c r="B217" s="75"/>
      <c r="C217" s="74"/>
      <c r="D217" s="73"/>
      <c r="E217" s="73"/>
      <c r="F217" s="73"/>
      <c r="G217" s="73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3"/>
      <c r="Y217" s="73"/>
      <c r="Z217" s="73"/>
      <c r="AA217" s="77"/>
      <c r="AB217" s="77"/>
      <c r="AC217" s="77"/>
      <c r="AD217" s="77"/>
    </row>
    <row r="218" spans="1:30" ht="15" customHeight="1" x14ac:dyDescent="0.2">
      <c r="A218" s="73"/>
      <c r="B218" s="75"/>
      <c r="C218" s="74"/>
      <c r="D218" s="73"/>
      <c r="E218" s="73"/>
      <c r="F218" s="73"/>
      <c r="G218" s="73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3"/>
      <c r="Y218" s="73"/>
      <c r="Z218" s="73"/>
      <c r="AA218" s="77"/>
      <c r="AB218" s="77"/>
      <c r="AC218" s="77"/>
      <c r="AD218" s="77"/>
    </row>
    <row r="219" spans="1:30" ht="15" customHeight="1" x14ac:dyDescent="0.2">
      <c r="A219" s="73"/>
      <c r="B219" s="75"/>
      <c r="C219" s="74"/>
      <c r="D219" s="73"/>
      <c r="E219" s="73"/>
      <c r="F219" s="73"/>
      <c r="G219" s="73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3"/>
      <c r="Y219" s="73"/>
      <c r="Z219" s="73"/>
      <c r="AA219" s="77"/>
      <c r="AB219" s="77"/>
      <c r="AC219" s="77"/>
      <c r="AD219" s="77"/>
    </row>
    <row r="220" spans="1:30" x14ac:dyDescent="0.2">
      <c r="A220" s="78"/>
      <c r="B220" s="79"/>
      <c r="C220" s="78"/>
      <c r="D220" s="78"/>
      <c r="E220" s="78"/>
      <c r="F220" s="78"/>
      <c r="G220" s="78"/>
      <c r="H220" s="64"/>
      <c r="I220" s="65">
        <f>SUM(I204:I219)</f>
        <v>0</v>
      </c>
      <c r="J220" s="65">
        <f t="shared" ref="J220:AD220" si="13">SUM(J204:J219)</f>
        <v>0</v>
      </c>
      <c r="K220" s="65">
        <f t="shared" si="13"/>
        <v>0</v>
      </c>
      <c r="L220" s="65">
        <f t="shared" si="13"/>
        <v>0</v>
      </c>
      <c r="M220" s="65">
        <f t="shared" si="13"/>
        <v>0</v>
      </c>
      <c r="N220" s="65">
        <f t="shared" si="13"/>
        <v>0</v>
      </c>
      <c r="O220" s="65">
        <f t="shared" si="13"/>
        <v>0</v>
      </c>
      <c r="P220" s="65">
        <f t="shared" si="13"/>
        <v>0</v>
      </c>
      <c r="Q220" s="65">
        <f t="shared" si="13"/>
        <v>0</v>
      </c>
      <c r="R220" s="65">
        <f t="shared" si="13"/>
        <v>0</v>
      </c>
      <c r="S220" s="65">
        <f t="shared" si="13"/>
        <v>0</v>
      </c>
      <c r="T220" s="69">
        <f t="shared" si="13"/>
        <v>0</v>
      </c>
      <c r="U220" s="69">
        <f t="shared" si="13"/>
        <v>0</v>
      </c>
      <c r="V220" s="65">
        <f t="shared" si="13"/>
        <v>0</v>
      </c>
      <c r="W220" s="65">
        <f t="shared" si="13"/>
        <v>0</v>
      </c>
      <c r="X220" s="65">
        <f t="shared" si="13"/>
        <v>0</v>
      </c>
      <c r="Y220" s="65">
        <f t="shared" si="13"/>
        <v>0</v>
      </c>
      <c r="Z220" s="65">
        <f t="shared" si="13"/>
        <v>0</v>
      </c>
      <c r="AA220" s="65">
        <f t="shared" si="13"/>
        <v>0</v>
      </c>
      <c r="AB220" s="65">
        <f t="shared" si="13"/>
        <v>0</v>
      </c>
      <c r="AC220" s="65">
        <f t="shared" si="13"/>
        <v>0</v>
      </c>
      <c r="AD220" s="65">
        <f t="shared" si="13"/>
        <v>0</v>
      </c>
    </row>
    <row r="221" spans="1:30" x14ac:dyDescent="0.2">
      <c r="A221" s="78"/>
      <c r="B221" s="79"/>
      <c r="C221" s="78"/>
      <c r="D221" s="78"/>
      <c r="E221" s="78"/>
      <c r="F221" s="78"/>
      <c r="G221" s="78"/>
      <c r="H221" s="80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0"/>
      <c r="U221" s="80"/>
      <c r="V221" s="81"/>
      <c r="W221" s="81"/>
      <c r="X221" s="81"/>
      <c r="Y221" s="81"/>
      <c r="Z221" s="81"/>
      <c r="AA221" s="81"/>
      <c r="AB221" s="81"/>
      <c r="AC221" s="81"/>
      <c r="AD221" s="81"/>
    </row>
    <row r="222" spans="1:30" ht="23.25" customHeight="1" x14ac:dyDescent="0.2">
      <c r="A222" s="71"/>
      <c r="B222" s="66">
        <f>+C223</f>
        <v>0</v>
      </c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2"/>
      <c r="W222" s="71"/>
      <c r="X222" s="71"/>
      <c r="Y222" s="71"/>
      <c r="Z222" s="71"/>
      <c r="AA222" s="71"/>
      <c r="AB222" s="71"/>
      <c r="AC222" s="71"/>
      <c r="AD222" s="71"/>
    </row>
    <row r="223" spans="1:30" x14ac:dyDescent="0.2">
      <c r="A223" s="73"/>
      <c r="B223" s="75"/>
      <c r="C223" s="74"/>
      <c r="D223" s="73"/>
      <c r="E223" s="73"/>
      <c r="F223" s="73"/>
      <c r="G223" s="73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3"/>
      <c r="Y223" s="73"/>
      <c r="Z223" s="73"/>
      <c r="AA223" s="77"/>
      <c r="AB223" s="77"/>
      <c r="AC223" s="77"/>
      <c r="AD223" s="77"/>
    </row>
    <row r="224" spans="1:30" ht="15" customHeight="1" x14ac:dyDescent="0.2">
      <c r="A224" s="73"/>
      <c r="B224" s="75"/>
      <c r="C224" s="74"/>
      <c r="D224" s="73"/>
      <c r="E224" s="73"/>
      <c r="F224" s="73"/>
      <c r="G224" s="73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3"/>
      <c r="Y224" s="73"/>
      <c r="Z224" s="73"/>
      <c r="AA224" s="77"/>
      <c r="AB224" s="77"/>
      <c r="AC224" s="77"/>
      <c r="AD224" s="77"/>
    </row>
    <row r="225" spans="1:30" ht="15" customHeight="1" x14ac:dyDescent="0.2">
      <c r="A225" s="73"/>
      <c r="B225" s="75"/>
      <c r="C225" s="74"/>
      <c r="D225" s="73"/>
      <c r="E225" s="73"/>
      <c r="F225" s="73"/>
      <c r="G225" s="73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3"/>
      <c r="Y225" s="73"/>
      <c r="Z225" s="73"/>
      <c r="AA225" s="77"/>
      <c r="AB225" s="77"/>
      <c r="AC225" s="77"/>
      <c r="AD225" s="77"/>
    </row>
    <row r="226" spans="1:30" ht="15" customHeight="1" x14ac:dyDescent="0.2">
      <c r="A226" s="73"/>
      <c r="B226" s="75"/>
      <c r="C226" s="74"/>
      <c r="D226" s="73"/>
      <c r="E226" s="73"/>
      <c r="F226" s="73"/>
      <c r="G226" s="73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3"/>
      <c r="Y226" s="73"/>
      <c r="Z226" s="73"/>
      <c r="AA226" s="77"/>
      <c r="AB226" s="77"/>
      <c r="AC226" s="77"/>
      <c r="AD226" s="77"/>
    </row>
    <row r="227" spans="1:30" ht="15" customHeight="1" x14ac:dyDescent="0.2">
      <c r="A227" s="73"/>
      <c r="B227" s="75"/>
      <c r="C227" s="74"/>
      <c r="D227" s="73"/>
      <c r="E227" s="73"/>
      <c r="F227" s="73"/>
      <c r="G227" s="73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3"/>
      <c r="Y227" s="73"/>
      <c r="Z227" s="73"/>
      <c r="AA227" s="77"/>
      <c r="AB227" s="77"/>
      <c r="AC227" s="77"/>
      <c r="AD227" s="77"/>
    </row>
    <row r="228" spans="1:30" ht="15" customHeight="1" x14ac:dyDescent="0.2">
      <c r="A228" s="73"/>
      <c r="B228" s="75"/>
      <c r="C228" s="74"/>
      <c r="D228" s="73"/>
      <c r="E228" s="73"/>
      <c r="F228" s="73"/>
      <c r="G228" s="73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3"/>
      <c r="Y228" s="73"/>
      <c r="Z228" s="73"/>
      <c r="AA228" s="77"/>
      <c r="AB228" s="77"/>
      <c r="AC228" s="77"/>
      <c r="AD228" s="77"/>
    </row>
    <row r="229" spans="1:30" ht="15" customHeight="1" x14ac:dyDescent="0.2">
      <c r="A229" s="73"/>
      <c r="B229" s="75"/>
      <c r="C229" s="74"/>
      <c r="D229" s="73"/>
      <c r="E229" s="73"/>
      <c r="F229" s="73"/>
      <c r="G229" s="73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3"/>
      <c r="Y229" s="73"/>
      <c r="Z229" s="73"/>
      <c r="AA229" s="77"/>
      <c r="AB229" s="77"/>
      <c r="AC229" s="77"/>
      <c r="AD229" s="77"/>
    </row>
    <row r="230" spans="1:30" x14ac:dyDescent="0.2">
      <c r="A230" s="78"/>
      <c r="B230" s="79"/>
      <c r="C230" s="78"/>
      <c r="D230" s="78"/>
      <c r="E230" s="78"/>
      <c r="F230" s="78"/>
      <c r="G230" s="78"/>
      <c r="H230" s="64"/>
      <c r="I230" s="65">
        <f>SUM(I223:I229)</f>
        <v>0</v>
      </c>
      <c r="J230" s="65">
        <f t="shared" ref="J230:AD230" si="14">SUM(J223:J229)</f>
        <v>0</v>
      </c>
      <c r="K230" s="65">
        <f t="shared" si="14"/>
        <v>0</v>
      </c>
      <c r="L230" s="65">
        <f t="shared" si="14"/>
        <v>0</v>
      </c>
      <c r="M230" s="65">
        <f t="shared" si="14"/>
        <v>0</v>
      </c>
      <c r="N230" s="65">
        <f t="shared" si="14"/>
        <v>0</v>
      </c>
      <c r="O230" s="65">
        <f t="shared" si="14"/>
        <v>0</v>
      </c>
      <c r="P230" s="65">
        <f t="shared" si="14"/>
        <v>0</v>
      </c>
      <c r="Q230" s="65">
        <f t="shared" si="14"/>
        <v>0</v>
      </c>
      <c r="R230" s="65">
        <f t="shared" si="14"/>
        <v>0</v>
      </c>
      <c r="S230" s="65">
        <f t="shared" si="14"/>
        <v>0</v>
      </c>
      <c r="T230" s="69">
        <f t="shared" si="14"/>
        <v>0</v>
      </c>
      <c r="U230" s="69">
        <f t="shared" si="14"/>
        <v>0</v>
      </c>
      <c r="V230" s="65">
        <f t="shared" si="14"/>
        <v>0</v>
      </c>
      <c r="W230" s="65">
        <f t="shared" si="14"/>
        <v>0</v>
      </c>
      <c r="X230" s="65">
        <f t="shared" si="14"/>
        <v>0</v>
      </c>
      <c r="Y230" s="65">
        <f t="shared" si="14"/>
        <v>0</v>
      </c>
      <c r="Z230" s="65">
        <f t="shared" si="14"/>
        <v>0</v>
      </c>
      <c r="AA230" s="65">
        <f t="shared" si="14"/>
        <v>0</v>
      </c>
      <c r="AB230" s="65">
        <f t="shared" si="14"/>
        <v>0</v>
      </c>
      <c r="AC230" s="65">
        <f t="shared" si="14"/>
        <v>0</v>
      </c>
      <c r="AD230" s="65">
        <f t="shared" si="14"/>
        <v>0</v>
      </c>
    </row>
    <row r="231" spans="1:30" x14ac:dyDescent="0.2">
      <c r="A231" s="78"/>
      <c r="B231" s="79"/>
      <c r="C231" s="78"/>
      <c r="D231" s="78"/>
      <c r="E231" s="78"/>
      <c r="F231" s="78"/>
      <c r="G231" s="78"/>
      <c r="H231" s="80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0"/>
      <c r="U231" s="80"/>
      <c r="V231" s="81"/>
      <c r="W231" s="81"/>
      <c r="X231" s="81"/>
      <c r="Y231" s="81"/>
      <c r="Z231" s="81"/>
      <c r="AA231" s="81"/>
      <c r="AB231" s="81"/>
      <c r="AC231" s="81"/>
      <c r="AD231" s="81"/>
    </row>
    <row r="232" spans="1:30" ht="27" customHeight="1" x14ac:dyDescent="0.2">
      <c r="A232" s="71"/>
      <c r="B232" s="66">
        <f>+C233</f>
        <v>0</v>
      </c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2"/>
      <c r="W232" s="71"/>
      <c r="X232" s="71"/>
      <c r="Y232" s="71"/>
      <c r="Z232" s="71"/>
      <c r="AA232" s="71"/>
      <c r="AB232" s="71"/>
      <c r="AC232" s="71"/>
      <c r="AD232" s="71"/>
    </row>
    <row r="233" spans="1:30" x14ac:dyDescent="0.2">
      <c r="A233" s="73"/>
      <c r="B233" s="75"/>
      <c r="C233" s="74"/>
      <c r="D233" s="73"/>
      <c r="E233" s="73"/>
      <c r="F233" s="73"/>
      <c r="G233" s="73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3"/>
      <c r="Y233" s="73"/>
      <c r="Z233" s="73"/>
      <c r="AA233" s="77"/>
      <c r="AB233" s="77"/>
      <c r="AC233" s="77"/>
      <c r="AD233" s="77"/>
    </row>
    <row r="234" spans="1:30" ht="15" customHeight="1" x14ac:dyDescent="0.2">
      <c r="A234" s="73"/>
      <c r="B234" s="75"/>
      <c r="C234" s="74"/>
      <c r="D234" s="73"/>
      <c r="E234" s="73"/>
      <c r="F234" s="73"/>
      <c r="G234" s="73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3"/>
      <c r="Y234" s="73"/>
      <c r="Z234" s="73"/>
      <c r="AA234" s="77"/>
      <c r="AB234" s="77"/>
      <c r="AC234" s="77"/>
      <c r="AD234" s="77"/>
    </row>
    <row r="235" spans="1:30" ht="15" customHeight="1" x14ac:dyDescent="0.2">
      <c r="A235" s="73"/>
      <c r="B235" s="75"/>
      <c r="C235" s="74"/>
      <c r="D235" s="73"/>
      <c r="E235" s="73"/>
      <c r="F235" s="73"/>
      <c r="G235" s="73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3"/>
      <c r="Y235" s="73"/>
      <c r="Z235" s="73"/>
      <c r="AA235" s="77"/>
      <c r="AB235" s="77"/>
      <c r="AC235" s="77"/>
      <c r="AD235" s="77"/>
    </row>
    <row r="236" spans="1:30" ht="15" customHeight="1" x14ac:dyDescent="0.2">
      <c r="A236" s="73"/>
      <c r="B236" s="75"/>
      <c r="C236" s="74"/>
      <c r="D236" s="73"/>
      <c r="E236" s="73"/>
      <c r="F236" s="73"/>
      <c r="G236" s="73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3"/>
      <c r="Y236" s="73"/>
      <c r="Z236" s="73"/>
      <c r="AA236" s="77"/>
      <c r="AB236" s="77"/>
      <c r="AC236" s="77"/>
      <c r="AD236" s="77"/>
    </row>
    <row r="237" spans="1:30" ht="15" customHeight="1" x14ac:dyDescent="0.2">
      <c r="A237" s="73"/>
      <c r="B237" s="75"/>
      <c r="C237" s="74"/>
      <c r="D237" s="73"/>
      <c r="E237" s="73"/>
      <c r="F237" s="73"/>
      <c r="G237" s="73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3"/>
      <c r="Y237" s="73"/>
      <c r="Z237" s="73"/>
      <c r="AA237" s="77"/>
      <c r="AB237" s="77"/>
      <c r="AC237" s="77"/>
      <c r="AD237" s="77"/>
    </row>
    <row r="238" spans="1:30" ht="15" customHeight="1" x14ac:dyDescent="0.2">
      <c r="A238" s="73"/>
      <c r="B238" s="75"/>
      <c r="C238" s="74"/>
      <c r="D238" s="73"/>
      <c r="E238" s="73"/>
      <c r="F238" s="73"/>
      <c r="G238" s="73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3"/>
      <c r="Y238" s="73"/>
      <c r="Z238" s="73"/>
      <c r="AA238" s="77"/>
      <c r="AB238" s="77"/>
      <c r="AC238" s="77"/>
      <c r="AD238" s="77"/>
    </row>
    <row r="239" spans="1:30" ht="15" customHeight="1" x14ac:dyDescent="0.2">
      <c r="A239" s="73"/>
      <c r="B239" s="75"/>
      <c r="C239" s="74"/>
      <c r="D239" s="73"/>
      <c r="E239" s="73"/>
      <c r="F239" s="73"/>
      <c r="G239" s="73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3"/>
      <c r="Y239" s="73"/>
      <c r="Z239" s="73"/>
      <c r="AA239" s="77"/>
      <c r="AB239" s="77"/>
      <c r="AC239" s="77"/>
      <c r="AD239" s="77"/>
    </row>
    <row r="240" spans="1:30" ht="15" customHeight="1" x14ac:dyDescent="0.2">
      <c r="A240" s="73"/>
      <c r="B240" s="75"/>
      <c r="C240" s="74"/>
      <c r="D240" s="73"/>
      <c r="E240" s="73"/>
      <c r="F240" s="73"/>
      <c r="G240" s="73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3"/>
      <c r="Y240" s="73"/>
      <c r="Z240" s="73"/>
      <c r="AA240" s="77"/>
      <c r="AB240" s="77"/>
      <c r="AC240" s="77"/>
      <c r="AD240" s="77"/>
    </row>
    <row r="241" spans="1:30" ht="15" customHeight="1" x14ac:dyDescent="0.2">
      <c r="A241" s="73"/>
      <c r="B241" s="75"/>
      <c r="C241" s="74"/>
      <c r="D241" s="73"/>
      <c r="E241" s="73"/>
      <c r="F241" s="73"/>
      <c r="G241" s="73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3"/>
      <c r="Y241" s="73"/>
      <c r="Z241" s="73"/>
      <c r="AA241" s="77"/>
      <c r="AB241" s="77"/>
      <c r="AC241" s="77"/>
      <c r="AD241" s="77"/>
    </row>
    <row r="242" spans="1:30" ht="15" customHeight="1" x14ac:dyDescent="0.2">
      <c r="A242" s="73"/>
      <c r="B242" s="75"/>
      <c r="C242" s="74"/>
      <c r="D242" s="73"/>
      <c r="E242" s="73"/>
      <c r="F242" s="73"/>
      <c r="G242" s="73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3"/>
      <c r="Y242" s="73"/>
      <c r="Z242" s="73"/>
      <c r="AA242" s="77"/>
      <c r="AB242" s="77"/>
      <c r="AC242" s="77"/>
      <c r="AD242" s="77"/>
    </row>
    <row r="243" spans="1:30" ht="15" customHeight="1" x14ac:dyDescent="0.2">
      <c r="A243" s="73"/>
      <c r="B243" s="75"/>
      <c r="C243" s="74"/>
      <c r="D243" s="73"/>
      <c r="E243" s="73"/>
      <c r="F243" s="73"/>
      <c r="G243" s="73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3"/>
      <c r="Y243" s="73"/>
      <c r="Z243" s="73"/>
      <c r="AA243" s="77"/>
      <c r="AB243" s="77"/>
      <c r="AC243" s="77"/>
      <c r="AD243" s="77"/>
    </row>
    <row r="244" spans="1:30" ht="15" customHeight="1" x14ac:dyDescent="0.2">
      <c r="A244" s="73"/>
      <c r="B244" s="75"/>
      <c r="C244" s="74"/>
      <c r="D244" s="73"/>
      <c r="E244" s="73"/>
      <c r="F244" s="73"/>
      <c r="G244" s="73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3"/>
      <c r="Y244" s="73"/>
      <c r="Z244" s="73"/>
      <c r="AA244" s="77"/>
      <c r="AB244" s="77"/>
      <c r="AC244" s="77"/>
      <c r="AD244" s="77"/>
    </row>
    <row r="245" spans="1:30" ht="15" customHeight="1" x14ac:dyDescent="0.2">
      <c r="A245" s="73"/>
      <c r="B245" s="75"/>
      <c r="C245" s="74"/>
      <c r="D245" s="73"/>
      <c r="E245" s="73"/>
      <c r="F245" s="73"/>
      <c r="G245" s="73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3"/>
      <c r="Y245" s="73"/>
      <c r="Z245" s="73"/>
      <c r="AA245" s="77"/>
      <c r="AB245" s="77"/>
      <c r="AC245" s="77"/>
      <c r="AD245" s="77"/>
    </row>
    <row r="246" spans="1:30" ht="15" customHeight="1" x14ac:dyDescent="0.2">
      <c r="A246" s="73"/>
      <c r="B246" s="75"/>
      <c r="C246" s="74"/>
      <c r="D246" s="73"/>
      <c r="E246" s="73"/>
      <c r="F246" s="73"/>
      <c r="G246" s="73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3"/>
      <c r="Y246" s="73"/>
      <c r="Z246" s="73"/>
      <c r="AA246" s="77"/>
      <c r="AB246" s="77"/>
      <c r="AC246" s="77"/>
      <c r="AD246" s="77"/>
    </row>
    <row r="247" spans="1:30" ht="15" customHeight="1" x14ac:dyDescent="0.2">
      <c r="A247" s="73"/>
      <c r="B247" s="75"/>
      <c r="C247" s="74"/>
      <c r="D247" s="73"/>
      <c r="E247" s="73"/>
      <c r="F247" s="73"/>
      <c r="G247" s="73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3"/>
      <c r="Y247" s="73"/>
      <c r="Z247" s="73"/>
      <c r="AA247" s="77"/>
      <c r="AB247" s="77"/>
      <c r="AC247" s="77"/>
      <c r="AD247" s="77"/>
    </row>
    <row r="248" spans="1:30" ht="15" customHeight="1" x14ac:dyDescent="0.2">
      <c r="A248" s="73"/>
      <c r="B248" s="75"/>
      <c r="C248" s="74"/>
      <c r="D248" s="73"/>
      <c r="E248" s="73"/>
      <c r="F248" s="73"/>
      <c r="G248" s="73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3"/>
      <c r="Y248" s="73"/>
      <c r="Z248" s="73"/>
      <c r="AA248" s="77"/>
      <c r="AB248" s="77"/>
      <c r="AC248" s="77"/>
      <c r="AD248" s="77"/>
    </row>
    <row r="249" spans="1:30" ht="15" customHeight="1" x14ac:dyDescent="0.2">
      <c r="A249" s="73"/>
      <c r="B249" s="75"/>
      <c r="C249" s="74"/>
      <c r="D249" s="73"/>
      <c r="E249" s="73"/>
      <c r="F249" s="73"/>
      <c r="G249" s="73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3"/>
      <c r="Y249" s="73"/>
      <c r="Z249" s="73"/>
      <c r="AA249" s="77"/>
      <c r="AB249" s="77"/>
      <c r="AC249" s="77"/>
      <c r="AD249" s="77"/>
    </row>
    <row r="250" spans="1:30" ht="15" customHeight="1" x14ac:dyDescent="0.2">
      <c r="A250" s="73"/>
      <c r="B250" s="75"/>
      <c r="C250" s="74"/>
      <c r="D250" s="73"/>
      <c r="E250" s="73"/>
      <c r="F250" s="73"/>
      <c r="G250" s="73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3"/>
      <c r="Y250" s="73"/>
      <c r="Z250" s="73"/>
      <c r="AA250" s="77"/>
      <c r="AB250" s="77"/>
      <c r="AC250" s="77"/>
      <c r="AD250" s="77"/>
    </row>
    <row r="251" spans="1:30" ht="15" customHeight="1" x14ac:dyDescent="0.2">
      <c r="A251" s="73"/>
      <c r="B251" s="75"/>
      <c r="C251" s="74"/>
      <c r="D251" s="73"/>
      <c r="E251" s="73"/>
      <c r="F251" s="73"/>
      <c r="G251" s="73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3"/>
      <c r="Y251" s="73"/>
      <c r="Z251" s="73"/>
      <c r="AA251" s="77"/>
      <c r="AB251" s="77"/>
      <c r="AC251" s="77"/>
      <c r="AD251" s="77"/>
    </row>
    <row r="252" spans="1:30" ht="15" customHeight="1" x14ac:dyDescent="0.2">
      <c r="A252" s="73"/>
      <c r="B252" s="75"/>
      <c r="C252" s="74"/>
      <c r="D252" s="73"/>
      <c r="E252" s="73"/>
      <c r="F252" s="73"/>
      <c r="G252" s="73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3"/>
      <c r="Y252" s="73"/>
      <c r="Z252" s="73"/>
      <c r="AA252" s="77"/>
      <c r="AB252" s="77"/>
      <c r="AC252" s="77"/>
      <c r="AD252" s="77"/>
    </row>
    <row r="253" spans="1:30" ht="15" customHeight="1" x14ac:dyDescent="0.2">
      <c r="A253" s="73"/>
      <c r="B253" s="75"/>
      <c r="C253" s="74"/>
      <c r="D253" s="73"/>
      <c r="E253" s="73"/>
      <c r="F253" s="73"/>
      <c r="G253" s="73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3"/>
      <c r="Y253" s="73"/>
      <c r="Z253" s="73"/>
      <c r="AA253" s="77"/>
      <c r="AB253" s="77"/>
      <c r="AC253" s="77"/>
      <c r="AD253" s="77"/>
    </row>
    <row r="254" spans="1:30" ht="15" customHeight="1" x14ac:dyDescent="0.2">
      <c r="A254" s="73"/>
      <c r="B254" s="75"/>
      <c r="C254" s="74"/>
      <c r="D254" s="73"/>
      <c r="E254" s="73"/>
      <c r="F254" s="73"/>
      <c r="G254" s="73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3"/>
      <c r="Y254" s="73"/>
      <c r="Z254" s="73"/>
      <c r="AA254" s="77"/>
      <c r="AB254" s="77"/>
      <c r="AC254" s="77"/>
      <c r="AD254" s="77"/>
    </row>
    <row r="255" spans="1:30" ht="15" customHeight="1" x14ac:dyDescent="0.2">
      <c r="A255" s="73"/>
      <c r="B255" s="75"/>
      <c r="C255" s="74"/>
      <c r="D255" s="73"/>
      <c r="E255" s="73"/>
      <c r="F255" s="73"/>
      <c r="G255" s="73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3"/>
      <c r="Y255" s="73"/>
      <c r="Z255" s="73"/>
      <c r="AA255" s="77"/>
      <c r="AB255" s="77"/>
      <c r="AC255" s="77"/>
      <c r="AD255" s="77"/>
    </row>
    <row r="256" spans="1:30" ht="15" customHeight="1" x14ac:dyDescent="0.2">
      <c r="A256" s="73"/>
      <c r="B256" s="75"/>
      <c r="C256" s="74"/>
      <c r="D256" s="73"/>
      <c r="E256" s="73"/>
      <c r="F256" s="73"/>
      <c r="G256" s="73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3"/>
      <c r="Y256" s="73"/>
      <c r="Z256" s="73"/>
      <c r="AA256" s="77"/>
      <c r="AB256" s="77"/>
      <c r="AC256" s="77"/>
      <c r="AD256" s="77"/>
    </row>
    <row r="257" spans="1:30" ht="15" customHeight="1" x14ac:dyDescent="0.2">
      <c r="A257" s="73"/>
      <c r="B257" s="75"/>
      <c r="C257" s="74"/>
      <c r="D257" s="73"/>
      <c r="E257" s="73"/>
      <c r="F257" s="73"/>
      <c r="G257" s="73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3"/>
      <c r="Y257" s="73"/>
      <c r="Z257" s="73"/>
      <c r="AA257" s="77"/>
      <c r="AB257" s="77"/>
      <c r="AC257" s="77"/>
      <c r="AD257" s="77"/>
    </row>
    <row r="258" spans="1:30" ht="15" customHeight="1" x14ac:dyDescent="0.2">
      <c r="A258" s="73"/>
      <c r="B258" s="75"/>
      <c r="C258" s="74"/>
      <c r="D258" s="73"/>
      <c r="E258" s="73"/>
      <c r="F258" s="73"/>
      <c r="G258" s="73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3"/>
      <c r="Y258" s="73"/>
      <c r="Z258" s="73"/>
      <c r="AA258" s="77"/>
      <c r="AB258" s="77"/>
      <c r="AC258" s="77"/>
      <c r="AD258" s="77"/>
    </row>
    <row r="259" spans="1:30" ht="15" customHeight="1" x14ac:dyDescent="0.2">
      <c r="A259" s="73"/>
      <c r="B259" s="75"/>
      <c r="C259" s="74"/>
      <c r="D259" s="73"/>
      <c r="E259" s="73"/>
      <c r="F259" s="73"/>
      <c r="G259" s="73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3"/>
      <c r="Y259" s="73"/>
      <c r="Z259" s="73"/>
      <c r="AA259" s="77"/>
      <c r="AB259" s="77"/>
      <c r="AC259" s="77"/>
      <c r="AD259" s="77"/>
    </row>
    <row r="260" spans="1:30" ht="15" customHeight="1" x14ac:dyDescent="0.2">
      <c r="A260" s="73"/>
      <c r="B260" s="75"/>
      <c r="C260" s="74"/>
      <c r="D260" s="73"/>
      <c r="E260" s="73"/>
      <c r="F260" s="73"/>
      <c r="G260" s="73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3"/>
      <c r="Y260" s="73"/>
      <c r="Z260" s="73"/>
      <c r="AA260" s="77"/>
      <c r="AB260" s="77"/>
      <c r="AC260" s="77"/>
      <c r="AD260" s="77"/>
    </row>
    <row r="261" spans="1:30" ht="15" customHeight="1" x14ac:dyDescent="0.2">
      <c r="A261" s="73"/>
      <c r="B261" s="75"/>
      <c r="C261" s="74"/>
      <c r="D261" s="73"/>
      <c r="E261" s="73"/>
      <c r="F261" s="73"/>
      <c r="G261" s="73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3"/>
      <c r="Y261" s="73"/>
      <c r="Z261" s="73"/>
      <c r="AA261" s="77"/>
      <c r="AB261" s="77"/>
      <c r="AC261" s="77"/>
      <c r="AD261" s="77"/>
    </row>
    <row r="262" spans="1:30" ht="15" customHeight="1" x14ac:dyDescent="0.2">
      <c r="A262" s="73"/>
      <c r="B262" s="75"/>
      <c r="C262" s="74"/>
      <c r="D262" s="73"/>
      <c r="E262" s="73"/>
      <c r="F262" s="73"/>
      <c r="G262" s="73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3"/>
      <c r="Y262" s="73"/>
      <c r="Z262" s="73"/>
      <c r="AA262" s="77"/>
      <c r="AB262" s="77"/>
      <c r="AC262" s="77"/>
      <c r="AD262" s="77"/>
    </row>
    <row r="263" spans="1:30" ht="15" customHeight="1" x14ac:dyDescent="0.2">
      <c r="A263" s="73"/>
      <c r="B263" s="75"/>
      <c r="C263" s="74"/>
      <c r="D263" s="73"/>
      <c r="E263" s="73"/>
      <c r="F263" s="73"/>
      <c r="G263" s="73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3"/>
      <c r="Y263" s="73"/>
      <c r="Z263" s="73"/>
      <c r="AA263" s="77"/>
      <c r="AB263" s="77"/>
      <c r="AC263" s="77"/>
      <c r="AD263" s="77"/>
    </row>
    <row r="264" spans="1:30" ht="15" customHeight="1" x14ac:dyDescent="0.2">
      <c r="A264" s="73"/>
      <c r="B264" s="75"/>
      <c r="C264" s="74"/>
      <c r="D264" s="73"/>
      <c r="E264" s="73"/>
      <c r="F264" s="73"/>
      <c r="G264" s="73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3"/>
      <c r="Y264" s="73"/>
      <c r="Z264" s="73"/>
      <c r="AA264" s="77"/>
      <c r="AB264" s="77"/>
      <c r="AC264" s="77"/>
      <c r="AD264" s="77"/>
    </row>
    <row r="265" spans="1:30" ht="15" customHeight="1" x14ac:dyDescent="0.2">
      <c r="A265" s="73"/>
      <c r="B265" s="75"/>
      <c r="C265" s="74"/>
      <c r="D265" s="73"/>
      <c r="E265" s="73"/>
      <c r="F265" s="73"/>
      <c r="G265" s="73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3"/>
      <c r="Y265" s="73"/>
      <c r="Z265" s="73"/>
      <c r="AA265" s="77"/>
      <c r="AB265" s="77"/>
      <c r="AC265" s="77"/>
      <c r="AD265" s="77"/>
    </row>
    <row r="266" spans="1:30" ht="15" customHeight="1" x14ac:dyDescent="0.2">
      <c r="A266" s="73"/>
      <c r="B266" s="75"/>
      <c r="C266" s="74"/>
      <c r="D266" s="73"/>
      <c r="E266" s="73"/>
      <c r="F266" s="73"/>
      <c r="G266" s="73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3"/>
      <c r="Y266" s="73"/>
      <c r="Z266" s="73"/>
      <c r="AA266" s="77"/>
      <c r="AB266" s="77"/>
      <c r="AC266" s="77"/>
      <c r="AD266" s="77"/>
    </row>
    <row r="267" spans="1:30" ht="15" customHeight="1" x14ac:dyDescent="0.2">
      <c r="A267" s="73"/>
      <c r="B267" s="75"/>
      <c r="C267" s="74"/>
      <c r="D267" s="73"/>
      <c r="E267" s="73"/>
      <c r="F267" s="73"/>
      <c r="G267" s="73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3"/>
      <c r="Y267" s="73"/>
      <c r="Z267" s="73"/>
      <c r="AA267" s="77"/>
      <c r="AB267" s="77"/>
      <c r="AC267" s="77"/>
      <c r="AD267" s="77"/>
    </row>
    <row r="268" spans="1:30" ht="15" customHeight="1" x14ac:dyDescent="0.2">
      <c r="A268" s="73"/>
      <c r="B268" s="75"/>
      <c r="C268" s="74"/>
      <c r="D268" s="73"/>
      <c r="E268" s="73"/>
      <c r="F268" s="73"/>
      <c r="G268" s="73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3"/>
      <c r="Y268" s="73"/>
      <c r="Z268" s="73"/>
      <c r="AA268" s="77"/>
      <c r="AB268" s="77"/>
      <c r="AC268" s="77"/>
      <c r="AD268" s="77"/>
    </row>
    <row r="269" spans="1:30" ht="15" customHeight="1" x14ac:dyDescent="0.2">
      <c r="A269" s="73"/>
      <c r="B269" s="75"/>
      <c r="C269" s="74"/>
      <c r="D269" s="73"/>
      <c r="E269" s="73"/>
      <c r="F269" s="73"/>
      <c r="G269" s="73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3"/>
      <c r="Y269" s="73"/>
      <c r="Z269" s="73"/>
      <c r="AA269" s="77"/>
      <c r="AB269" s="77"/>
      <c r="AC269" s="77"/>
      <c r="AD269" s="77"/>
    </row>
    <row r="270" spans="1:30" ht="15" customHeight="1" x14ac:dyDescent="0.2">
      <c r="A270" s="73"/>
      <c r="B270" s="75"/>
      <c r="C270" s="74"/>
      <c r="D270" s="73"/>
      <c r="E270" s="73"/>
      <c r="F270" s="73"/>
      <c r="G270" s="73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3"/>
      <c r="Y270" s="73"/>
      <c r="Z270" s="73"/>
      <c r="AA270" s="77"/>
      <c r="AB270" s="77"/>
      <c r="AC270" s="77"/>
      <c r="AD270" s="77"/>
    </row>
    <row r="271" spans="1:30" ht="15" customHeight="1" x14ac:dyDescent="0.2">
      <c r="A271" s="73"/>
      <c r="B271" s="75"/>
      <c r="C271" s="74"/>
      <c r="D271" s="73"/>
      <c r="E271" s="73"/>
      <c r="F271" s="73"/>
      <c r="G271" s="73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3"/>
      <c r="Y271" s="73"/>
      <c r="Z271" s="73"/>
      <c r="AA271" s="77"/>
      <c r="AB271" s="77"/>
      <c r="AC271" s="77"/>
      <c r="AD271" s="77"/>
    </row>
    <row r="272" spans="1:30" ht="15" customHeight="1" x14ac:dyDescent="0.2">
      <c r="A272" s="73"/>
      <c r="B272" s="75"/>
      <c r="C272" s="74"/>
      <c r="D272" s="73"/>
      <c r="E272" s="73"/>
      <c r="F272" s="73"/>
      <c r="G272" s="73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3"/>
      <c r="Y272" s="73"/>
      <c r="Z272" s="73"/>
      <c r="AA272" s="77"/>
      <c r="AB272" s="77"/>
      <c r="AC272" s="77"/>
      <c r="AD272" s="77"/>
    </row>
    <row r="273" spans="1:30" ht="15" customHeight="1" x14ac:dyDescent="0.2">
      <c r="A273" s="73"/>
      <c r="B273" s="75"/>
      <c r="C273" s="74"/>
      <c r="D273" s="73"/>
      <c r="E273" s="73"/>
      <c r="F273" s="73"/>
      <c r="G273" s="73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3"/>
      <c r="Y273" s="73"/>
      <c r="Z273" s="73"/>
      <c r="AA273" s="77"/>
      <c r="AB273" s="77"/>
      <c r="AC273" s="77"/>
      <c r="AD273" s="77"/>
    </row>
    <row r="274" spans="1:30" ht="15" customHeight="1" x14ac:dyDescent="0.2">
      <c r="A274" s="73"/>
      <c r="B274" s="75"/>
      <c r="C274" s="74"/>
      <c r="D274" s="73"/>
      <c r="E274" s="73"/>
      <c r="F274" s="73"/>
      <c r="G274" s="73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3"/>
      <c r="Y274" s="73"/>
      <c r="Z274" s="73"/>
      <c r="AA274" s="77"/>
      <c r="AB274" s="77"/>
      <c r="AC274" s="77"/>
      <c r="AD274" s="77"/>
    </row>
    <row r="275" spans="1:30" ht="15" customHeight="1" x14ac:dyDescent="0.2">
      <c r="A275" s="73"/>
      <c r="B275" s="75"/>
      <c r="C275" s="74"/>
      <c r="D275" s="73"/>
      <c r="E275" s="73"/>
      <c r="F275" s="73"/>
      <c r="G275" s="73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3"/>
      <c r="Y275" s="73"/>
      <c r="Z275" s="73"/>
      <c r="AA275" s="77"/>
      <c r="AB275" s="77"/>
      <c r="AC275" s="77"/>
      <c r="AD275" s="77"/>
    </row>
    <row r="276" spans="1:30" ht="15" customHeight="1" x14ac:dyDescent="0.2">
      <c r="A276" s="73"/>
      <c r="B276" s="75"/>
      <c r="C276" s="74"/>
      <c r="D276" s="73"/>
      <c r="E276" s="73"/>
      <c r="F276" s="73"/>
      <c r="G276" s="73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3"/>
      <c r="Y276" s="73"/>
      <c r="Z276" s="73"/>
      <c r="AA276" s="77"/>
      <c r="AB276" s="77"/>
      <c r="AC276" s="77"/>
      <c r="AD276" s="77"/>
    </row>
    <row r="277" spans="1:30" ht="15" customHeight="1" x14ac:dyDescent="0.2">
      <c r="A277" s="73"/>
      <c r="B277" s="75"/>
      <c r="C277" s="74"/>
      <c r="D277" s="73"/>
      <c r="E277" s="73"/>
      <c r="F277" s="73"/>
      <c r="G277" s="73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3"/>
      <c r="Y277" s="73"/>
      <c r="Z277" s="73"/>
      <c r="AA277" s="77"/>
      <c r="AB277" s="77"/>
      <c r="AC277" s="77"/>
      <c r="AD277" s="77"/>
    </row>
    <row r="278" spans="1:30" ht="15" customHeight="1" x14ac:dyDescent="0.2">
      <c r="A278" s="73"/>
      <c r="B278" s="75"/>
      <c r="C278" s="74"/>
      <c r="D278" s="73"/>
      <c r="E278" s="73"/>
      <c r="F278" s="73"/>
      <c r="G278" s="73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3"/>
      <c r="Y278" s="73"/>
      <c r="Z278" s="73"/>
      <c r="AA278" s="77"/>
      <c r="AB278" s="77"/>
      <c r="AC278" s="77"/>
      <c r="AD278" s="77"/>
    </row>
    <row r="279" spans="1:30" ht="15" customHeight="1" x14ac:dyDescent="0.2">
      <c r="A279" s="73"/>
      <c r="B279" s="75"/>
      <c r="C279" s="74"/>
      <c r="D279" s="73"/>
      <c r="E279" s="73"/>
      <c r="F279" s="73"/>
      <c r="G279" s="73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3"/>
      <c r="Y279" s="73"/>
      <c r="Z279" s="73"/>
      <c r="AA279" s="77"/>
      <c r="AB279" s="77"/>
      <c r="AC279" s="77"/>
      <c r="AD279" s="77"/>
    </row>
    <row r="280" spans="1:30" ht="15" customHeight="1" x14ac:dyDescent="0.2">
      <c r="A280" s="73"/>
      <c r="B280" s="75"/>
      <c r="C280" s="74"/>
      <c r="D280" s="73"/>
      <c r="E280" s="73"/>
      <c r="F280" s="73"/>
      <c r="G280" s="73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3"/>
      <c r="Y280" s="73"/>
      <c r="Z280" s="73"/>
      <c r="AA280" s="77"/>
      <c r="AB280" s="77"/>
      <c r="AC280" s="77"/>
      <c r="AD280" s="77"/>
    </row>
    <row r="281" spans="1:30" ht="15" customHeight="1" x14ac:dyDescent="0.2">
      <c r="A281" s="73"/>
      <c r="B281" s="75"/>
      <c r="C281" s="74"/>
      <c r="D281" s="73"/>
      <c r="E281" s="73"/>
      <c r="F281" s="73"/>
      <c r="G281" s="73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3"/>
      <c r="Y281" s="73"/>
      <c r="Z281" s="73"/>
      <c r="AA281" s="77"/>
      <c r="AB281" s="77"/>
      <c r="AC281" s="77"/>
      <c r="AD281" s="77"/>
    </row>
    <row r="282" spans="1:30" ht="15" customHeight="1" x14ac:dyDescent="0.2">
      <c r="A282" s="73"/>
      <c r="B282" s="75"/>
      <c r="C282" s="74"/>
      <c r="D282" s="73"/>
      <c r="E282" s="73"/>
      <c r="F282" s="73"/>
      <c r="G282" s="73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3"/>
      <c r="Y282" s="73"/>
      <c r="Z282" s="73"/>
      <c r="AA282" s="77"/>
      <c r="AB282" s="77"/>
      <c r="AC282" s="77"/>
      <c r="AD282" s="77"/>
    </row>
    <row r="283" spans="1:30" ht="15" customHeight="1" x14ac:dyDescent="0.2">
      <c r="A283" s="73"/>
      <c r="B283" s="75"/>
      <c r="C283" s="74"/>
      <c r="D283" s="73"/>
      <c r="E283" s="73"/>
      <c r="F283" s="73"/>
      <c r="G283" s="73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3"/>
      <c r="Y283" s="73"/>
      <c r="Z283" s="73"/>
      <c r="AA283" s="77"/>
      <c r="AB283" s="77"/>
      <c r="AC283" s="77"/>
      <c r="AD283" s="77"/>
    </row>
    <row r="284" spans="1:30" x14ac:dyDescent="0.2">
      <c r="I284" s="67">
        <f>SUM(I233:I283)</f>
        <v>0</v>
      </c>
      <c r="J284" s="67">
        <f t="shared" ref="J284:AD284" si="15">SUM(J233:J283)</f>
        <v>0</v>
      </c>
      <c r="K284" s="67">
        <f t="shared" si="15"/>
        <v>0</v>
      </c>
      <c r="L284" s="67">
        <f t="shared" si="15"/>
        <v>0</v>
      </c>
      <c r="M284" s="67">
        <f t="shared" si="15"/>
        <v>0</v>
      </c>
      <c r="N284" s="67">
        <f t="shared" si="15"/>
        <v>0</v>
      </c>
      <c r="O284" s="67">
        <f t="shared" si="15"/>
        <v>0</v>
      </c>
      <c r="P284" s="67">
        <f t="shared" si="15"/>
        <v>0</v>
      </c>
      <c r="Q284" s="67">
        <f t="shared" si="15"/>
        <v>0</v>
      </c>
      <c r="R284" s="67">
        <f t="shared" si="15"/>
        <v>0</v>
      </c>
      <c r="S284" s="67">
        <f t="shared" si="15"/>
        <v>0</v>
      </c>
      <c r="T284" s="82">
        <f t="shared" si="15"/>
        <v>0</v>
      </c>
      <c r="U284" s="82">
        <f t="shared" si="15"/>
        <v>0</v>
      </c>
      <c r="V284" s="67">
        <f t="shared" si="15"/>
        <v>0</v>
      </c>
      <c r="W284" s="67">
        <f t="shared" si="15"/>
        <v>0</v>
      </c>
      <c r="X284" s="67">
        <f t="shared" si="15"/>
        <v>0</v>
      </c>
      <c r="Y284" s="67">
        <f t="shared" si="15"/>
        <v>0</v>
      </c>
      <c r="Z284" s="67">
        <f t="shared" si="15"/>
        <v>0</v>
      </c>
      <c r="AA284" s="67">
        <f t="shared" si="15"/>
        <v>0</v>
      </c>
      <c r="AB284" s="67">
        <f t="shared" si="15"/>
        <v>0</v>
      </c>
      <c r="AC284" s="67">
        <f t="shared" si="15"/>
        <v>0</v>
      </c>
      <c r="AD284" s="67">
        <f t="shared" si="15"/>
        <v>0</v>
      </c>
    </row>
    <row r="286" spans="1:30" x14ac:dyDescent="0.2">
      <c r="I286" s="68">
        <f>+I284+I230+I220+I201+I136+I95+I79+I53+I26+I17</f>
        <v>0</v>
      </c>
      <c r="J286" s="68">
        <f t="shared" ref="J286:AD286" si="16">+J284+J230+J220+J201+J136+J95+J79+J53+J26+J17</f>
        <v>0</v>
      </c>
      <c r="K286" s="68">
        <f t="shared" si="16"/>
        <v>0</v>
      </c>
      <c r="L286" s="68">
        <f t="shared" si="16"/>
        <v>0</v>
      </c>
      <c r="M286" s="68">
        <f t="shared" si="16"/>
        <v>0</v>
      </c>
      <c r="N286" s="68">
        <f t="shared" si="16"/>
        <v>0</v>
      </c>
      <c r="O286" s="68">
        <f t="shared" si="16"/>
        <v>0</v>
      </c>
      <c r="P286" s="68">
        <f t="shared" si="16"/>
        <v>0</v>
      </c>
      <c r="Q286" s="68">
        <f t="shared" si="16"/>
        <v>0</v>
      </c>
      <c r="R286" s="68">
        <f t="shared" si="16"/>
        <v>0</v>
      </c>
      <c r="S286" s="68">
        <f t="shared" si="16"/>
        <v>0</v>
      </c>
      <c r="T286" s="68">
        <f t="shared" si="16"/>
        <v>0</v>
      </c>
      <c r="U286" s="68">
        <f t="shared" si="16"/>
        <v>0</v>
      </c>
      <c r="V286" s="68">
        <f t="shared" si="16"/>
        <v>0</v>
      </c>
      <c r="W286" s="68">
        <f t="shared" si="16"/>
        <v>0</v>
      </c>
      <c r="X286" s="68">
        <f t="shared" si="16"/>
        <v>0</v>
      </c>
      <c r="Y286" s="68">
        <f t="shared" si="16"/>
        <v>0</v>
      </c>
      <c r="Z286" s="68">
        <f t="shared" si="16"/>
        <v>0</v>
      </c>
      <c r="AA286" s="68">
        <f t="shared" si="16"/>
        <v>0</v>
      </c>
      <c r="AB286" s="68">
        <f t="shared" si="16"/>
        <v>0</v>
      </c>
      <c r="AC286" s="68">
        <f t="shared" si="16"/>
        <v>0</v>
      </c>
      <c r="AD286" s="68">
        <f t="shared" si="16"/>
        <v>0</v>
      </c>
    </row>
  </sheetData>
  <autoFilter ref="A3:BH3" xr:uid="{27C13653-61B1-4E69-87B8-7FFF4E25C299}"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sortState xmlns:xlrd2="http://schemas.microsoft.com/office/spreadsheetml/2017/richdata2" ref="A4:BH255">
      <sortCondition ref="C3"/>
    </sortState>
  </autoFilter>
  <mergeCells count="65">
    <mergeCell ref="AF2:BH2"/>
    <mergeCell ref="AF4:AG4"/>
    <mergeCell ref="AI4:AJ4"/>
    <mergeCell ref="AL4:AM4"/>
    <mergeCell ref="AO4:AP4"/>
    <mergeCell ref="AR4:AS4"/>
    <mergeCell ref="AU4:AV4"/>
    <mergeCell ref="AX4:AY4"/>
    <mergeCell ref="BA4:BB4"/>
    <mergeCell ref="BD4:BE4"/>
    <mergeCell ref="BG4:BH4"/>
    <mergeCell ref="BG23:BH23"/>
    <mergeCell ref="AI24:AJ24"/>
    <mergeCell ref="AL24:AM24"/>
    <mergeCell ref="AF27:AG27"/>
    <mergeCell ref="AI27:AJ27"/>
    <mergeCell ref="AL27:AM27"/>
    <mergeCell ref="AO27:AP27"/>
    <mergeCell ref="AR27:AS27"/>
    <mergeCell ref="AU27:AV27"/>
    <mergeCell ref="AX27:AY27"/>
    <mergeCell ref="BA27:BB27"/>
    <mergeCell ref="BD27:BE27"/>
    <mergeCell ref="BG27:BH27"/>
    <mergeCell ref="AU23:AV23"/>
    <mergeCell ref="AX23:AY23"/>
    <mergeCell ref="AF36:AG36"/>
    <mergeCell ref="BA23:BB23"/>
    <mergeCell ref="BD23:BE23"/>
    <mergeCell ref="AF23:AG23"/>
    <mergeCell ref="AI23:AJ23"/>
    <mergeCell ref="AL23:AM23"/>
    <mergeCell ref="AO23:AP23"/>
    <mergeCell ref="AR23:AS23"/>
    <mergeCell ref="AU22:AV22"/>
    <mergeCell ref="AX22:AY22"/>
    <mergeCell ref="BA22:BB22"/>
    <mergeCell ref="BD22:BE22"/>
    <mergeCell ref="BG22:BH22"/>
    <mergeCell ref="AF22:AG22"/>
    <mergeCell ref="AI22:AJ22"/>
    <mergeCell ref="AL22:AM22"/>
    <mergeCell ref="AO22:AP22"/>
    <mergeCell ref="AR22:AS22"/>
    <mergeCell ref="BA20:BB20"/>
    <mergeCell ref="BD20:BE20"/>
    <mergeCell ref="BG20:BH20"/>
    <mergeCell ref="AF21:AG21"/>
    <mergeCell ref="AI21:AJ21"/>
    <mergeCell ref="AL21:AM21"/>
    <mergeCell ref="AO21:AP21"/>
    <mergeCell ref="AR21:AS21"/>
    <mergeCell ref="AU21:AV21"/>
    <mergeCell ref="AX21:AY21"/>
    <mergeCell ref="AR20:AS20"/>
    <mergeCell ref="AU20:AV20"/>
    <mergeCell ref="AX20:AY20"/>
    <mergeCell ref="BA21:BB21"/>
    <mergeCell ref="BD21:BE21"/>
    <mergeCell ref="BG21:BH21"/>
    <mergeCell ref="AF19:AH19"/>
    <mergeCell ref="AF20:AG20"/>
    <mergeCell ref="AI20:AJ20"/>
    <mergeCell ref="AL20:AM20"/>
    <mergeCell ref="AO20:AP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14FD-839A-49B8-A7F9-EF821EF8793A}">
  <sheetPr>
    <pageSetUpPr fitToPage="1"/>
  </sheetPr>
  <dimension ref="B1:O65"/>
  <sheetViews>
    <sheetView workbookViewId="0">
      <selection activeCell="K22" sqref="K22"/>
    </sheetView>
  </sheetViews>
  <sheetFormatPr baseColWidth="10" defaultRowHeight="15" x14ac:dyDescent="0.25"/>
  <cols>
    <col min="1" max="1" width="11.42578125" style="2"/>
    <col min="2" max="2" width="23" style="84" customWidth="1"/>
    <col min="3" max="3" width="21.85546875" style="2" customWidth="1"/>
    <col min="4" max="4" width="32.140625" style="2" customWidth="1"/>
    <col min="5" max="5" width="0.5703125" style="2" customWidth="1"/>
    <col min="6" max="6" width="14.140625" style="2" bestFit="1" customWidth="1"/>
    <col min="7" max="8" width="12.5703125" style="2" bestFit="1" customWidth="1"/>
    <col min="9" max="12" width="11.42578125" style="2"/>
    <col min="13" max="15" width="14.140625" style="2" bestFit="1" customWidth="1"/>
    <col min="16" max="16384" width="11.42578125" style="2"/>
  </cols>
  <sheetData>
    <row r="1" spans="2:15" ht="15.75" thickBot="1" x14ac:dyDescent="0.3"/>
    <row r="2" spans="2:15" ht="27" thickBot="1" x14ac:dyDescent="0.45">
      <c r="B2" s="110" t="s">
        <v>287</v>
      </c>
      <c r="C2" s="111"/>
      <c r="D2" s="111"/>
      <c r="E2" s="111"/>
      <c r="F2" s="111"/>
      <c r="G2" s="112"/>
    </row>
    <row r="3" spans="2:15" ht="15.75" thickBot="1" x14ac:dyDescent="0.3">
      <c r="L3" s="2" t="s">
        <v>288</v>
      </c>
      <c r="M3" s="103">
        <v>403856.08</v>
      </c>
      <c r="N3" s="87">
        <f>+F4+F11+F18+F25+F32+F39+F46+F53</f>
        <v>-4216.6400000000003</v>
      </c>
    </row>
    <row r="4" spans="2:15" x14ac:dyDescent="0.25">
      <c r="B4" s="113" t="s">
        <v>286</v>
      </c>
      <c r="C4" s="97" t="s">
        <v>285</v>
      </c>
      <c r="D4" s="97" t="s">
        <v>264</v>
      </c>
      <c r="E4" s="99"/>
      <c r="F4" s="98">
        <f>+FEBRERO!$AG$9</f>
        <v>0</v>
      </c>
      <c r="G4" s="97"/>
      <c r="L4" s="95" t="s">
        <v>252</v>
      </c>
      <c r="M4" s="103">
        <f>376291.94-2356.34</f>
        <v>373935.6</v>
      </c>
      <c r="N4" s="87">
        <f>+F5+F12+F19+F26+F33+F40+F47+F54</f>
        <v>14096.070000000002</v>
      </c>
    </row>
    <row r="5" spans="2:15" x14ac:dyDescent="0.25">
      <c r="B5" s="108"/>
      <c r="C5" s="95" t="s">
        <v>284</v>
      </c>
      <c r="D5" s="95" t="s">
        <v>252</v>
      </c>
      <c r="E5" s="96"/>
      <c r="F5" s="87">
        <f>+FEBRERO!$AG$5+2181.36</f>
        <v>2181.36</v>
      </c>
      <c r="G5" s="95"/>
      <c r="L5" s="95" t="s">
        <v>250</v>
      </c>
      <c r="M5" s="103">
        <v>149494.25</v>
      </c>
      <c r="N5" s="87">
        <f>+F6+F13+F20+F27+F34+F41+F48+F55</f>
        <v>17449.52</v>
      </c>
    </row>
    <row r="6" spans="2:15" x14ac:dyDescent="0.25">
      <c r="B6" s="108"/>
      <c r="C6" s="95" t="s">
        <v>283</v>
      </c>
      <c r="D6" s="95" t="s">
        <v>250</v>
      </c>
      <c r="E6" s="96"/>
      <c r="F6" s="87">
        <f>+FEBRERO!$AG$6+2181.36</f>
        <v>2181.36</v>
      </c>
      <c r="G6" s="95"/>
      <c r="L6" s="95" t="s">
        <v>248</v>
      </c>
      <c r="M6" s="103">
        <v>457921.61</v>
      </c>
      <c r="N6" s="87">
        <f>+F7+F14+F21+F28+F35+F42+F49+F56</f>
        <v>18450.88</v>
      </c>
    </row>
    <row r="7" spans="2:15" x14ac:dyDescent="0.25">
      <c r="B7" s="108"/>
      <c r="C7" s="95" t="s">
        <v>282</v>
      </c>
      <c r="D7" s="95" t="s">
        <v>248</v>
      </c>
      <c r="E7" s="96"/>
      <c r="F7" s="87">
        <f>+FEBRERO!$AG$7+2181.36</f>
        <v>2181.36</v>
      </c>
      <c r="G7" s="95"/>
      <c r="M7" s="103">
        <f>SUM(M3:M6)</f>
        <v>1385207.54</v>
      </c>
      <c r="N7" s="87">
        <f>SUM(N3:N6)</f>
        <v>45779.83</v>
      </c>
      <c r="O7" s="87"/>
    </row>
    <row r="8" spans="2:15" x14ac:dyDescent="0.25">
      <c r="B8" s="108"/>
      <c r="C8" s="95" t="s">
        <v>247</v>
      </c>
      <c r="D8" s="95" t="s">
        <v>218</v>
      </c>
      <c r="E8" s="94"/>
      <c r="F8" s="87"/>
      <c r="G8" s="93">
        <v>29197.57</v>
      </c>
      <c r="M8" s="2">
        <v>87923.38</v>
      </c>
    </row>
    <row r="9" spans="2:15" x14ac:dyDescent="0.25">
      <c r="B9" s="108"/>
      <c r="C9" s="95" t="s">
        <v>246</v>
      </c>
      <c r="D9" s="95" t="s">
        <v>214</v>
      </c>
      <c r="E9" s="94"/>
      <c r="G9" s="93">
        <f>+F5</f>
        <v>2181.36</v>
      </c>
      <c r="M9" s="87">
        <f>+M7+M8</f>
        <v>1473130.92</v>
      </c>
    </row>
    <row r="10" spans="2:15" ht="15.75" thickBot="1" x14ac:dyDescent="0.3">
      <c r="B10" s="109"/>
      <c r="C10" s="92" t="s">
        <v>245</v>
      </c>
      <c r="D10" s="92" t="s">
        <v>244</v>
      </c>
      <c r="E10" s="91"/>
      <c r="F10" s="90"/>
      <c r="G10" s="89">
        <f>+F6+F7</f>
        <v>4362.72</v>
      </c>
      <c r="M10" s="88">
        <f>+M9-F62</f>
        <v>1477347.5599999998</v>
      </c>
      <c r="O10" s="87">
        <f>1473130.92-87923.38</f>
        <v>1385207.54</v>
      </c>
    </row>
    <row r="11" spans="2:15" x14ac:dyDescent="0.25">
      <c r="B11" s="104" t="s">
        <v>281</v>
      </c>
      <c r="C11" s="97" t="s">
        <v>280</v>
      </c>
      <c r="D11" s="97" t="s">
        <v>264</v>
      </c>
      <c r="E11" s="99"/>
      <c r="F11" s="98">
        <f>+FEBRERO!$AJ$9+FEBRERO!$AY$9</f>
        <v>0</v>
      </c>
      <c r="G11" s="97"/>
      <c r="M11" s="88">
        <f>+M7+M10</f>
        <v>2862555.0999999996</v>
      </c>
      <c r="O11" s="87">
        <f>+M7-O10</f>
        <v>0</v>
      </c>
    </row>
    <row r="12" spans="2:15" x14ac:dyDescent="0.25">
      <c r="B12" s="105"/>
      <c r="C12" s="95" t="s">
        <v>279</v>
      </c>
      <c r="D12" s="95" t="s">
        <v>252</v>
      </c>
      <c r="E12" s="96"/>
      <c r="F12" s="87">
        <f>+FEBRERO!$AJ$5+FEBRERO!$AY$5+2000-2356.34</f>
        <v>-356.34000000000015</v>
      </c>
      <c r="G12" s="95"/>
    </row>
    <row r="13" spans="2:15" x14ac:dyDescent="0.25">
      <c r="B13" s="105"/>
      <c r="C13" s="95" t="s">
        <v>278</v>
      </c>
      <c r="D13" s="95" t="s">
        <v>250</v>
      </c>
      <c r="E13" s="96"/>
      <c r="F13" s="87">
        <f>+FEBRERO!$AJ$6+FEBRERO!$AY$6+2181.36</f>
        <v>2181.36</v>
      </c>
      <c r="G13" s="95"/>
    </row>
    <row r="14" spans="2:15" x14ac:dyDescent="0.25">
      <c r="B14" s="105"/>
      <c r="C14" s="95" t="s">
        <v>277</v>
      </c>
      <c r="D14" s="95" t="s">
        <v>248</v>
      </c>
      <c r="E14" s="96"/>
      <c r="F14" s="87">
        <f>+FEBRERO!$AJ$7+FEBRERO!$AY$7+2181.36</f>
        <v>2181.36</v>
      </c>
      <c r="G14" s="95"/>
    </row>
    <row r="15" spans="2:15" x14ac:dyDescent="0.25">
      <c r="B15" s="105"/>
      <c r="C15" s="95" t="s">
        <v>247</v>
      </c>
      <c r="D15" s="95" t="s">
        <v>218</v>
      </c>
      <c r="E15" s="94"/>
      <c r="G15" s="93">
        <f>+F11</f>
        <v>0</v>
      </c>
    </row>
    <row r="16" spans="2:15" x14ac:dyDescent="0.25">
      <c r="B16" s="105"/>
      <c r="C16" s="95" t="s">
        <v>246</v>
      </c>
      <c r="D16" s="95" t="s">
        <v>214</v>
      </c>
      <c r="E16" s="94"/>
      <c r="G16" s="93">
        <f>+F12</f>
        <v>-356.34000000000015</v>
      </c>
    </row>
    <row r="17" spans="2:7" ht="15.75" thickBot="1" x14ac:dyDescent="0.3">
      <c r="B17" s="106"/>
      <c r="C17" s="92" t="s">
        <v>245</v>
      </c>
      <c r="D17" s="92" t="s">
        <v>244</v>
      </c>
      <c r="E17" s="91"/>
      <c r="F17" s="90"/>
      <c r="G17" s="89">
        <f>+F13+F14</f>
        <v>4362.72</v>
      </c>
    </row>
    <row r="18" spans="2:7" x14ac:dyDescent="0.25">
      <c r="B18" s="104" t="s">
        <v>276</v>
      </c>
      <c r="C18" s="97" t="s">
        <v>265</v>
      </c>
      <c r="D18" s="97" t="s">
        <v>264</v>
      </c>
      <c r="E18" s="99"/>
      <c r="F18" s="98">
        <f>+FEBRERO!$BB$9</f>
        <v>0</v>
      </c>
      <c r="G18" s="97"/>
    </row>
    <row r="19" spans="2:7" x14ac:dyDescent="0.25">
      <c r="B19" s="105"/>
      <c r="C19" s="95" t="s">
        <v>263</v>
      </c>
      <c r="D19" s="95" t="s">
        <v>252</v>
      </c>
      <c r="E19" s="96"/>
      <c r="F19" s="87">
        <f>+FEBRERO!$BB$5+2000</f>
        <v>2000</v>
      </c>
      <c r="G19" s="95"/>
    </row>
    <row r="20" spans="2:7" x14ac:dyDescent="0.25">
      <c r="B20" s="105"/>
      <c r="C20" s="95" t="s">
        <v>262</v>
      </c>
      <c r="D20" s="95" t="s">
        <v>250</v>
      </c>
      <c r="E20" s="96"/>
      <c r="F20" s="87">
        <f>+FEBRERO!$BB$6+2181.36</f>
        <v>2181.36</v>
      </c>
      <c r="G20" s="95"/>
    </row>
    <row r="21" spans="2:7" x14ac:dyDescent="0.25">
      <c r="B21" s="105"/>
      <c r="C21" s="95" t="s">
        <v>261</v>
      </c>
      <c r="D21" s="95" t="s">
        <v>248</v>
      </c>
      <c r="E21" s="96"/>
      <c r="F21" s="87">
        <f>+FEBRERO!$BB$7+2181.36</f>
        <v>2181.36</v>
      </c>
      <c r="G21" s="95"/>
    </row>
    <row r="22" spans="2:7" x14ac:dyDescent="0.25">
      <c r="B22" s="105"/>
      <c r="C22" s="95" t="s">
        <v>247</v>
      </c>
      <c r="D22" s="95" t="s">
        <v>218</v>
      </c>
      <c r="E22" s="94"/>
      <c r="G22" s="93">
        <f>+F18</f>
        <v>0</v>
      </c>
    </row>
    <row r="23" spans="2:7" x14ac:dyDescent="0.25">
      <c r="B23" s="105"/>
      <c r="C23" s="95" t="s">
        <v>246</v>
      </c>
      <c r="D23" s="95" t="s">
        <v>214</v>
      </c>
      <c r="E23" s="94"/>
      <c r="G23" s="93">
        <f>+F19</f>
        <v>2000</v>
      </c>
    </row>
    <row r="24" spans="2:7" ht="15.75" thickBot="1" x14ac:dyDescent="0.3">
      <c r="B24" s="106"/>
      <c r="C24" s="92" t="s">
        <v>245</v>
      </c>
      <c r="D24" s="92" t="s">
        <v>244</v>
      </c>
      <c r="E24" s="91"/>
      <c r="F24" s="90"/>
      <c r="G24" s="89">
        <f>+F20+F21</f>
        <v>4362.72</v>
      </c>
    </row>
    <row r="25" spans="2:7" x14ac:dyDescent="0.25">
      <c r="B25" s="104" t="s">
        <v>275</v>
      </c>
      <c r="C25" s="97" t="s">
        <v>274</v>
      </c>
      <c r="D25" s="97" t="s">
        <v>264</v>
      </c>
      <c r="E25" s="99"/>
      <c r="F25" s="98">
        <f>+FEBRERO!$BH$9</f>
        <v>0</v>
      </c>
      <c r="G25" s="97"/>
    </row>
    <row r="26" spans="2:7" x14ac:dyDescent="0.25">
      <c r="B26" s="105"/>
      <c r="C26" s="95" t="s">
        <v>273</v>
      </c>
      <c r="D26" s="95" t="s">
        <v>252</v>
      </c>
      <c r="E26" s="96"/>
      <c r="F26" s="87">
        <f>+FEBRERO!$BH$5+2000</f>
        <v>2000</v>
      </c>
      <c r="G26" s="95"/>
    </row>
    <row r="27" spans="2:7" x14ac:dyDescent="0.25">
      <c r="B27" s="105"/>
      <c r="C27" s="95" t="s">
        <v>272</v>
      </c>
      <c r="D27" s="95" t="s">
        <v>250</v>
      </c>
      <c r="E27" s="96"/>
      <c r="F27" s="87">
        <f>+FEBRERO!$BH$6+2181.36</f>
        <v>2181.36</v>
      </c>
      <c r="G27" s="95"/>
    </row>
    <row r="28" spans="2:7" x14ac:dyDescent="0.25">
      <c r="B28" s="105"/>
      <c r="C28" s="95" t="s">
        <v>271</v>
      </c>
      <c r="D28" s="95" t="s">
        <v>248</v>
      </c>
      <c r="E28" s="96"/>
      <c r="F28" s="87">
        <f>+FEBRERO!$BH$7+3181.36</f>
        <v>3181.36</v>
      </c>
      <c r="G28" s="95"/>
    </row>
    <row r="29" spans="2:7" x14ac:dyDescent="0.25">
      <c r="B29" s="105"/>
      <c r="C29" s="95" t="s">
        <v>247</v>
      </c>
      <c r="D29" s="95" t="s">
        <v>218</v>
      </c>
      <c r="E29" s="94"/>
      <c r="G29" s="93">
        <f>+F25</f>
        <v>0</v>
      </c>
    </row>
    <row r="30" spans="2:7" x14ac:dyDescent="0.25">
      <c r="B30" s="105"/>
      <c r="C30" s="95" t="s">
        <v>246</v>
      </c>
      <c r="D30" s="95" t="s">
        <v>214</v>
      </c>
      <c r="E30" s="94"/>
      <c r="G30" s="93">
        <f>+F26</f>
        <v>2000</v>
      </c>
    </row>
    <row r="31" spans="2:7" ht="15.75" thickBot="1" x14ac:dyDescent="0.3">
      <c r="B31" s="106"/>
      <c r="C31" s="92" t="s">
        <v>245</v>
      </c>
      <c r="D31" s="92" t="s">
        <v>244</v>
      </c>
      <c r="E31" s="91"/>
      <c r="F31" s="90"/>
      <c r="G31" s="89">
        <f>+F27+F28</f>
        <v>5362.72</v>
      </c>
    </row>
    <row r="32" spans="2:7" x14ac:dyDescent="0.25">
      <c r="B32" s="113" t="s">
        <v>229</v>
      </c>
      <c r="C32" s="97" t="s">
        <v>270</v>
      </c>
      <c r="D32" s="97" t="s">
        <v>264</v>
      </c>
      <c r="E32" s="99"/>
      <c r="F32" s="98">
        <f>+FEBRERO!$AP$9</f>
        <v>0</v>
      </c>
      <c r="G32" s="97"/>
    </row>
    <row r="33" spans="2:7" x14ac:dyDescent="0.25">
      <c r="B33" s="108"/>
      <c r="C33" s="95" t="s">
        <v>269</v>
      </c>
      <c r="D33" s="95" t="s">
        <v>252</v>
      </c>
      <c r="E33" s="96"/>
      <c r="F33" s="87">
        <f>+FEBRERO!$AP$5+2000</f>
        <v>2000</v>
      </c>
      <c r="G33" s="95"/>
    </row>
    <row r="34" spans="2:7" x14ac:dyDescent="0.25">
      <c r="B34" s="108"/>
      <c r="C34" s="95" t="s">
        <v>268</v>
      </c>
      <c r="D34" s="95" t="s">
        <v>250</v>
      </c>
      <c r="E34" s="96"/>
      <c r="F34" s="87">
        <f>+FEBRERO!$AP$6+2181.36</f>
        <v>2181.36</v>
      </c>
      <c r="G34" s="95"/>
    </row>
    <row r="35" spans="2:7" x14ac:dyDescent="0.25">
      <c r="B35" s="108"/>
      <c r="C35" s="95" t="s">
        <v>267</v>
      </c>
      <c r="D35" s="95" t="s">
        <v>248</v>
      </c>
      <c r="E35" s="96"/>
      <c r="F35" s="87">
        <f>+FEBRERO!$AP$7+2181.36</f>
        <v>2181.36</v>
      </c>
      <c r="G35" s="95"/>
    </row>
    <row r="36" spans="2:7" x14ac:dyDescent="0.25">
      <c r="B36" s="108"/>
      <c r="C36" s="95" t="s">
        <v>247</v>
      </c>
      <c r="D36" s="95" t="s">
        <v>218</v>
      </c>
      <c r="E36" s="94"/>
      <c r="G36" s="93">
        <f>+F32</f>
        <v>0</v>
      </c>
    </row>
    <row r="37" spans="2:7" x14ac:dyDescent="0.25">
      <c r="B37" s="108"/>
      <c r="C37" s="95" t="s">
        <v>246</v>
      </c>
      <c r="D37" s="95" t="s">
        <v>214</v>
      </c>
      <c r="E37" s="94"/>
      <c r="G37" s="93">
        <f>+F33</f>
        <v>2000</v>
      </c>
    </row>
    <row r="38" spans="2:7" ht="15.75" thickBot="1" x14ac:dyDescent="0.3">
      <c r="B38" s="109"/>
      <c r="C38" s="92" t="s">
        <v>245</v>
      </c>
      <c r="D38" s="92" t="s">
        <v>244</v>
      </c>
      <c r="E38" s="91"/>
      <c r="F38" s="90"/>
      <c r="G38" s="89">
        <f>+F34+F35</f>
        <v>4362.72</v>
      </c>
    </row>
    <row r="39" spans="2:7" x14ac:dyDescent="0.25">
      <c r="B39" s="104" t="s">
        <v>266</v>
      </c>
      <c r="C39" s="97" t="s">
        <v>265</v>
      </c>
      <c r="D39" s="97" t="s">
        <v>264</v>
      </c>
      <c r="E39" s="99"/>
      <c r="F39" s="98">
        <f>+FEBRERO!$AS$9+FEBRERO!$AV$9</f>
        <v>0</v>
      </c>
      <c r="G39" s="100"/>
    </row>
    <row r="40" spans="2:7" x14ac:dyDescent="0.25">
      <c r="B40" s="105"/>
      <c r="C40" s="95" t="s">
        <v>263</v>
      </c>
      <c r="D40" s="95" t="s">
        <v>252</v>
      </c>
      <c r="E40" s="96"/>
      <c r="F40" s="87">
        <f>+FEBRERO!$AS$5+FEBRERO!$AV$5+2000</f>
        <v>2000</v>
      </c>
      <c r="G40" s="95"/>
    </row>
    <row r="41" spans="2:7" x14ac:dyDescent="0.25">
      <c r="B41" s="105"/>
      <c r="C41" s="95" t="s">
        <v>262</v>
      </c>
      <c r="D41" s="95" t="s">
        <v>250</v>
      </c>
      <c r="E41" s="96"/>
      <c r="F41" s="87">
        <f>+FEBRERO!$AS$6+FEBRERO!$AV$6+2181.36</f>
        <v>2181.36</v>
      </c>
      <c r="G41" s="95"/>
    </row>
    <row r="42" spans="2:7" x14ac:dyDescent="0.25">
      <c r="B42" s="105"/>
      <c r="C42" s="95" t="s">
        <v>261</v>
      </c>
      <c r="D42" s="95" t="s">
        <v>248</v>
      </c>
      <c r="E42" s="96"/>
      <c r="F42" s="87">
        <f>+FEBRERO!$AS$7+FEBRERO!$AV$7+2181.36</f>
        <v>2181.36</v>
      </c>
      <c r="G42" s="95"/>
    </row>
    <row r="43" spans="2:7" x14ac:dyDescent="0.25">
      <c r="B43" s="105"/>
      <c r="C43" s="95" t="s">
        <v>247</v>
      </c>
      <c r="D43" s="95" t="s">
        <v>218</v>
      </c>
      <c r="E43" s="94"/>
      <c r="G43" s="93">
        <f>+F39</f>
        <v>0</v>
      </c>
    </row>
    <row r="44" spans="2:7" x14ac:dyDescent="0.25">
      <c r="B44" s="105"/>
      <c r="C44" s="95" t="s">
        <v>246</v>
      </c>
      <c r="D44" s="95" t="s">
        <v>214</v>
      </c>
      <c r="E44" s="94"/>
      <c r="G44" s="93">
        <f>+F40</f>
        <v>2000</v>
      </c>
    </row>
    <row r="45" spans="2:7" ht="15.75" thickBot="1" x14ac:dyDescent="0.3">
      <c r="B45" s="106"/>
      <c r="C45" s="92" t="s">
        <v>245</v>
      </c>
      <c r="D45" s="92" t="s">
        <v>244</v>
      </c>
      <c r="E45" s="91"/>
      <c r="F45" s="90"/>
      <c r="G45" s="89">
        <f>+F41+F42</f>
        <v>4362.72</v>
      </c>
    </row>
    <row r="46" spans="2:7" x14ac:dyDescent="0.25">
      <c r="B46" s="104" t="s">
        <v>239</v>
      </c>
      <c r="C46" s="97" t="s">
        <v>260</v>
      </c>
      <c r="D46" s="97" t="s">
        <v>254</v>
      </c>
      <c r="E46" s="99"/>
      <c r="F46" s="98">
        <f>+FEBRERO!$AM$9</f>
        <v>-4216.6400000000003</v>
      </c>
      <c r="G46" s="97"/>
    </row>
    <row r="47" spans="2:7" x14ac:dyDescent="0.25">
      <c r="B47" s="105"/>
      <c r="C47" s="95" t="s">
        <v>259</v>
      </c>
      <c r="D47" s="95" t="s">
        <v>252</v>
      </c>
      <c r="E47" s="96"/>
      <c r="F47" s="87">
        <f>+FEBRERO!$AM$5+2089.69</f>
        <v>2089.69</v>
      </c>
      <c r="G47" s="95"/>
    </row>
    <row r="48" spans="2:7" x14ac:dyDescent="0.25">
      <c r="B48" s="105"/>
      <c r="C48" s="95" t="s">
        <v>258</v>
      </c>
      <c r="D48" s="95" t="s">
        <v>250</v>
      </c>
      <c r="E48" s="96"/>
      <c r="F48" s="87">
        <f>+FEBRERO!$AM$6+2180</f>
        <v>2180</v>
      </c>
      <c r="G48" s="95"/>
    </row>
    <row r="49" spans="2:7" x14ac:dyDescent="0.25">
      <c r="B49" s="105"/>
      <c r="C49" s="95" t="s">
        <v>257</v>
      </c>
      <c r="D49" s="95" t="s">
        <v>248</v>
      </c>
      <c r="E49" s="96"/>
      <c r="F49" s="87">
        <f>+FEBRERO!$AM$7+2181.36</f>
        <v>2181.36</v>
      </c>
      <c r="G49" s="95"/>
    </row>
    <row r="50" spans="2:7" x14ac:dyDescent="0.25">
      <c r="B50" s="105"/>
      <c r="C50" s="95" t="s">
        <v>247</v>
      </c>
      <c r="D50" s="95" t="s">
        <v>218</v>
      </c>
      <c r="E50" s="94"/>
      <c r="G50" s="93">
        <f>+F46</f>
        <v>-4216.6400000000003</v>
      </c>
    </row>
    <row r="51" spans="2:7" x14ac:dyDescent="0.25">
      <c r="B51" s="105"/>
      <c r="C51" s="95" t="s">
        <v>246</v>
      </c>
      <c r="D51" s="95" t="s">
        <v>214</v>
      </c>
      <c r="E51" s="94"/>
      <c r="G51" s="93">
        <f>+F47</f>
        <v>2089.69</v>
      </c>
    </row>
    <row r="52" spans="2:7" ht="15.75" thickBot="1" x14ac:dyDescent="0.3">
      <c r="B52" s="106"/>
      <c r="C52" s="92" t="s">
        <v>245</v>
      </c>
      <c r="D52" s="92" t="s">
        <v>244</v>
      </c>
      <c r="E52" s="91"/>
      <c r="F52" s="90"/>
      <c r="G52" s="89">
        <f>+F48+F49</f>
        <v>4361.3600000000006</v>
      </c>
    </row>
    <row r="53" spans="2:7" x14ac:dyDescent="0.25">
      <c r="B53" s="107" t="s">
        <v>256</v>
      </c>
      <c r="C53" s="95" t="s">
        <v>255</v>
      </c>
      <c r="D53" s="95" t="s">
        <v>254</v>
      </c>
      <c r="E53" s="96"/>
      <c r="F53" s="87">
        <f>+FEBRERO!$BE$9</f>
        <v>0</v>
      </c>
      <c r="G53" s="95"/>
    </row>
    <row r="54" spans="2:7" x14ac:dyDescent="0.25">
      <c r="B54" s="108"/>
      <c r="C54" s="95" t="s">
        <v>253</v>
      </c>
      <c r="D54" s="95" t="s">
        <v>252</v>
      </c>
      <c r="E54" s="96"/>
      <c r="F54" s="87">
        <f>+FEBRERO!$BE$5+2181.36</f>
        <v>2181.36</v>
      </c>
      <c r="G54" s="95"/>
    </row>
    <row r="55" spans="2:7" x14ac:dyDescent="0.25">
      <c r="B55" s="108"/>
      <c r="C55" s="95" t="s">
        <v>251</v>
      </c>
      <c r="D55" s="95" t="s">
        <v>250</v>
      </c>
      <c r="E55" s="96"/>
      <c r="F55" s="87">
        <f>+FEBRERO!$BE$6+2181.36</f>
        <v>2181.36</v>
      </c>
      <c r="G55" s="95"/>
    </row>
    <row r="56" spans="2:7" x14ac:dyDescent="0.25">
      <c r="B56" s="108"/>
      <c r="C56" s="95" t="s">
        <v>249</v>
      </c>
      <c r="D56" s="95" t="s">
        <v>248</v>
      </c>
      <c r="E56" s="96"/>
      <c r="F56" s="87">
        <f>+FEBRERO!$BE$7+2181.36</f>
        <v>2181.36</v>
      </c>
      <c r="G56" s="95"/>
    </row>
    <row r="57" spans="2:7" x14ac:dyDescent="0.25">
      <c r="B57" s="108"/>
      <c r="C57" s="95" t="s">
        <v>247</v>
      </c>
      <c r="D57" s="95" t="s">
        <v>218</v>
      </c>
      <c r="E57" s="94"/>
      <c r="G57" s="93">
        <f>+F53</f>
        <v>0</v>
      </c>
    </row>
    <row r="58" spans="2:7" x14ac:dyDescent="0.25">
      <c r="B58" s="108"/>
      <c r="C58" s="95" t="s">
        <v>246</v>
      </c>
      <c r="D58" s="95" t="s">
        <v>214</v>
      </c>
      <c r="E58" s="94"/>
      <c r="G58" s="93">
        <f>+F54</f>
        <v>2181.36</v>
      </c>
    </row>
    <row r="59" spans="2:7" ht="15.75" thickBot="1" x14ac:dyDescent="0.3">
      <c r="B59" s="109"/>
      <c r="C59" s="92" t="s">
        <v>245</v>
      </c>
      <c r="D59" s="92" t="s">
        <v>244</v>
      </c>
      <c r="E59" s="91"/>
      <c r="F59" s="90"/>
      <c r="G59" s="89">
        <f>+F55+F56</f>
        <v>4362.72</v>
      </c>
    </row>
    <row r="61" spans="2:7" x14ac:dyDescent="0.25">
      <c r="D61" s="86" t="s">
        <v>243</v>
      </c>
      <c r="F61" s="87">
        <f>SUM(F4:F59)</f>
        <v>45779.830000000009</v>
      </c>
    </row>
    <row r="62" spans="2:7" x14ac:dyDescent="0.25">
      <c r="D62" s="86" t="s">
        <v>242</v>
      </c>
      <c r="F62" s="88">
        <f>+FEBRERO!$AF$16</f>
        <v>-4216.6400000000003</v>
      </c>
    </row>
    <row r="63" spans="2:7" x14ac:dyDescent="0.25">
      <c r="D63" s="86" t="s">
        <v>241</v>
      </c>
      <c r="F63" s="88">
        <f>-(+F61-F62)</f>
        <v>-49996.470000000008</v>
      </c>
    </row>
    <row r="64" spans="2:7" x14ac:dyDescent="0.25">
      <c r="D64" s="86"/>
      <c r="F64" s="87">
        <f>87923.38-F63</f>
        <v>137919.85</v>
      </c>
    </row>
    <row r="65" spans="4:6" x14ac:dyDescent="0.25">
      <c r="D65" s="86"/>
      <c r="F65" s="85"/>
    </row>
  </sheetData>
  <mergeCells count="9">
    <mergeCell ref="B39:B45"/>
    <mergeCell ref="B46:B52"/>
    <mergeCell ref="B53:B59"/>
    <mergeCell ref="B2:G2"/>
    <mergeCell ref="B4:B10"/>
    <mergeCell ref="B11:B17"/>
    <mergeCell ref="B18:B24"/>
    <mergeCell ref="B25:B31"/>
    <mergeCell ref="B32:B38"/>
  </mergeCells>
  <pageMargins left="0.7" right="0.7" top="0.75" bottom="0.75" header="0.3" footer="0.3"/>
  <pageSetup paperSize="9" scale="73" fitToWidth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EMA</vt:lpstr>
      <vt:lpstr>EBA</vt:lpstr>
      <vt:lpstr>FEBRERO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Rodriguez</dc:creator>
  <cp:lastModifiedBy>adelita perez solorzano</cp:lastModifiedBy>
  <cp:lastPrinted>2025-09-23T23:15:10Z</cp:lastPrinted>
  <dcterms:created xsi:type="dcterms:W3CDTF">2025-07-15T19:17:05Z</dcterms:created>
  <dcterms:modified xsi:type="dcterms:W3CDTF">2026-03-18T22:02:32Z</dcterms:modified>
</cp:coreProperties>
</file>